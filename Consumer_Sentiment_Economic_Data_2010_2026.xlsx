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Jerry Cai\Downloads\"/>
    </mc:Choice>
  </mc:AlternateContent>
  <bookViews>
    <workbookView windowWidth="19200" windowHeight="8055"/>
  </bookViews>
  <sheets>
    <sheet name="Monthly" sheetId="1" r:id="rId1"/>
    <sheet name="Quarterly GDP" sheetId="2" r:id="rId2"/>
    <sheet name="Sources and not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<sst xmlns="http://schemas.openxmlformats.org/spreadsheetml/2006/main" count="695" uniqueCount="375">
  <si>
    <t>month</t>
  </si>
  <si>
    <t>michigan_sentiment</t>
  </si>
  <si>
    <t>michigan_current_conditions</t>
  </si>
  <si>
    <t>michigan_expectations</t>
  </si>
  <si>
    <t>survey_status</t>
  </si>
  <si>
    <t>u3_unemployment_pct_sa</t>
  </si>
  <si>
    <t>pce_price_index_2017_100_sa</t>
  </si>
  <si>
    <t>pce_index_lag12</t>
  </si>
  <si>
    <t>pce_inflation_yoy_pct</t>
  </si>
  <si>
    <t>real_disposable_income_bn2017usd_saar</t>
  </si>
  <si>
    <t>u6_underutilization_pct_sa</t>
  </si>
  <si>
    <t>pce_cumulative_since_jan2010_pct</t>
  </si>
  <si>
    <t>2010-01-01T00:00:00.000Z</t>
  </si>
  <si>
    <t>final</t>
  </si>
  <si>
    <t>2010-02-01T00:00:00.000Z</t>
  </si>
  <si>
    <t>2010-03-01T00:00:00.000Z</t>
  </si>
  <si>
    <t>2010-04-01T00:00:00.000Z</t>
  </si>
  <si>
    <t>2010-05-01T00:00:00.000Z</t>
  </si>
  <si>
    <t>2010-06-01T00:00:00.000Z</t>
  </si>
  <si>
    <t>2010-07-01T00:00:00.000Z</t>
  </si>
  <si>
    <t>2010-08-01T00:00:00.000Z</t>
  </si>
  <si>
    <t>2010-09-01T00:00:00.000Z</t>
  </si>
  <si>
    <t>2010-10-01T00:00:00.000Z</t>
  </si>
  <si>
    <t>2010-11-01T00:00:00.000Z</t>
  </si>
  <si>
    <t>2010-12-01T00:00:00.000Z</t>
  </si>
  <si>
    <t>2011-01-01T00:00:00.000Z</t>
  </si>
  <si>
    <t>2011-02-01T00:00:00.000Z</t>
  </si>
  <si>
    <t>2011-03-01T00:00:00.000Z</t>
  </si>
  <si>
    <t>2011-04-01T00:00:00.000Z</t>
  </si>
  <si>
    <t>2011-05-01T00:00:00.000Z</t>
  </si>
  <si>
    <t>2011-06-01T00:00:00.000Z</t>
  </si>
  <si>
    <t>2011-07-01T00:00:00.000Z</t>
  </si>
  <si>
    <t>2011-08-01T00:00:00.000Z</t>
  </si>
  <si>
    <t>2011-09-01T00:00:00.000Z</t>
  </si>
  <si>
    <t>2011-10-01T00:00:00.000Z</t>
  </si>
  <si>
    <t>2011-11-01T00:00:00.000Z</t>
  </si>
  <si>
    <t>2011-12-01T00:00:00.000Z</t>
  </si>
  <si>
    <t>2012-01-01T00:00:00.000Z</t>
  </si>
  <si>
    <t>2012-02-01T00:00:00.000Z</t>
  </si>
  <si>
    <t>2012-03-01T00:00:00.000Z</t>
  </si>
  <si>
    <t>2012-04-01T00:00:00.000Z</t>
  </si>
  <si>
    <t>2012-05-01T00:00:00.000Z</t>
  </si>
  <si>
    <t>2012-06-01T00:00:00.000Z</t>
  </si>
  <si>
    <t>2012-07-01T00:00:00.000Z</t>
  </si>
  <si>
    <t>2012-08-01T00:00:00.000Z</t>
  </si>
  <si>
    <t>2012-09-01T00:00:00.000Z</t>
  </si>
  <si>
    <t>2012-10-01T00:00:00.000Z</t>
  </si>
  <si>
    <t>2012-11-01T00:00:00.000Z</t>
  </si>
  <si>
    <t>2012-12-01T00:00:00.000Z</t>
  </si>
  <si>
    <t>2013-01-01T00:00:00.000Z</t>
  </si>
  <si>
    <t>2013-02-01T00:00:00.000Z</t>
  </si>
  <si>
    <t>2013-03-01T00:00:00.000Z</t>
  </si>
  <si>
    <t>2013-04-01T00:00:00.000Z</t>
  </si>
  <si>
    <t>2013-05-01T00:00:00.000Z</t>
  </si>
  <si>
    <t>2013-06-01T00:00:00.000Z</t>
  </si>
  <si>
    <t>2013-07-01T00:00:00.000Z</t>
  </si>
  <si>
    <t>2013-08-01T00:00:00.000Z</t>
  </si>
  <si>
    <t>2013-09-01T00:00:00.000Z</t>
  </si>
  <si>
    <t>2013-10-01T00:00:00.000Z</t>
  </si>
  <si>
    <t>2013-11-01T00:00:00.000Z</t>
  </si>
  <si>
    <t>2013-12-01T00:00:00.000Z</t>
  </si>
  <si>
    <t>2014-01-01T00:00:00.000Z</t>
  </si>
  <si>
    <t>2014-02-01T00:00:00.000Z</t>
  </si>
  <si>
    <t>2014-03-01T00:00:00.000Z</t>
  </si>
  <si>
    <t>2014-04-01T00:00:00.000Z</t>
  </si>
  <si>
    <t>2014-05-01T00:00:00.000Z</t>
  </si>
  <si>
    <t>2014-06-01T00:00:00.000Z</t>
  </si>
  <si>
    <t>2014-07-01T00:00:00.000Z</t>
  </si>
  <si>
    <t>2014-08-01T00:00:00.000Z</t>
  </si>
  <si>
    <t>2014-09-01T00:00:00.000Z</t>
  </si>
  <si>
    <t>2014-10-01T00:00:00.000Z</t>
  </si>
  <si>
    <t>2014-11-01T00:00:00.000Z</t>
  </si>
  <si>
    <t>2014-12-01T00:00:00.000Z</t>
  </si>
  <si>
    <t>2015-01-01T00:00:00.000Z</t>
  </si>
  <si>
    <t>2015-02-01T00:00:00.000Z</t>
  </si>
  <si>
    <t>2015-03-01T00:00:00.000Z</t>
  </si>
  <si>
    <t>2015-04-01T00:00:00.000Z</t>
  </si>
  <si>
    <t>2015-05-01T00:00:00.000Z</t>
  </si>
  <si>
    <t>2015-06-01T00:00:00.000Z</t>
  </si>
  <si>
    <t>2015-07-01T00:00:00.000Z</t>
  </si>
  <si>
    <t>2015-08-01T00:00:00.000Z</t>
  </si>
  <si>
    <t>2015-09-01T00:00:00.000Z</t>
  </si>
  <si>
    <t>2015-10-01T00:00:00.000Z</t>
  </si>
  <si>
    <t>2015-11-01T00:00:00.000Z</t>
  </si>
  <si>
    <t>2015-12-01T00:00:00.000Z</t>
  </si>
  <si>
    <t>2016-01-01T00:00:00.000Z</t>
  </si>
  <si>
    <t>2016-02-01T00:00:00.000Z</t>
  </si>
  <si>
    <t>2016-03-01T00:00:00.000Z</t>
  </si>
  <si>
    <t>2016-04-01T00:00:00.000Z</t>
  </si>
  <si>
    <t>2016-05-01T00:00:00.000Z</t>
  </si>
  <si>
    <t>2016-06-01T00:00:00.000Z</t>
  </si>
  <si>
    <t>2016-07-01T00:00:00.000Z</t>
  </si>
  <si>
    <t>2016-08-01T00:00:00.000Z</t>
  </si>
  <si>
    <t>2016-09-01T00:00:00.000Z</t>
  </si>
  <si>
    <t>2016-10-01T00:00:00.000Z</t>
  </si>
  <si>
    <t>2016-11-01T00:00:00.000Z</t>
  </si>
  <si>
    <t>2016-12-01T00:00:00.000Z</t>
  </si>
  <si>
    <t>2017-01-01T00:00:00.000Z</t>
  </si>
  <si>
    <t>2017-02-01T00:00:00.000Z</t>
  </si>
  <si>
    <t>2017-03-01T00:00:00.000Z</t>
  </si>
  <si>
    <t>2017-04-01T00:00:00.000Z</t>
  </si>
  <si>
    <t>2017-05-01T00:00:00.000Z</t>
  </si>
  <si>
    <t>2017-06-01T00:00:00.000Z</t>
  </si>
  <si>
    <t>2017-07-01T00:00:00.000Z</t>
  </si>
  <si>
    <t>2017-08-01T00:00:00.000Z</t>
  </si>
  <si>
    <t>2017-09-01T00:00:00.000Z</t>
  </si>
  <si>
    <t>2017-10-01T00:00:00.000Z</t>
  </si>
  <si>
    <t>2017-11-01T00:00:00.000Z</t>
  </si>
  <si>
    <t>2017-12-01T00:00:00.000Z</t>
  </si>
  <si>
    <t>2018-01-01T00:00:00.000Z</t>
  </si>
  <si>
    <t>2018-02-01T00:00:00.000Z</t>
  </si>
  <si>
    <t>2018-03-01T00:00:00.000Z</t>
  </si>
  <si>
    <t>2018-04-01T00:00:00.000Z</t>
  </si>
  <si>
    <t>2018-05-01T00:00:00.000Z</t>
  </si>
  <si>
    <t>2018-06-01T00:00:00.000Z</t>
  </si>
  <si>
    <t>2018-07-01T00:00:00.000Z</t>
  </si>
  <si>
    <t>2018-08-01T00:00:00.000Z</t>
  </si>
  <si>
    <t>2018-09-01T00:00:00.000Z</t>
  </si>
  <si>
    <t>2018-10-01T00:00:00.000Z</t>
  </si>
  <si>
    <t>2018-11-01T00:00:00.000Z</t>
  </si>
  <si>
    <t>2018-12-01T00:00:00.000Z</t>
  </si>
  <si>
    <t>2019-01-01T00:00:00.000Z</t>
  </si>
  <si>
    <t>2019-02-01T00:00:00.000Z</t>
  </si>
  <si>
    <t>2019-03-01T00:00:00.000Z</t>
  </si>
  <si>
    <t>2019-04-01T00:00:00.000Z</t>
  </si>
  <si>
    <t>2019-05-01T00:00:00.000Z</t>
  </si>
  <si>
    <t>2019-06-01T00:00:00.000Z</t>
  </si>
  <si>
    <t>2019-07-01T00:00:00.000Z</t>
  </si>
  <si>
    <t>2019-08-01T00:00:00.000Z</t>
  </si>
  <si>
    <t>2019-09-01T00:00:00.000Z</t>
  </si>
  <si>
    <t>2019-10-01T00:00:00.000Z</t>
  </si>
  <si>
    <t>2019-11-01T00:00:00.000Z</t>
  </si>
  <si>
    <t>2019-12-01T00:00:00.000Z</t>
  </si>
  <si>
    <t>2020-01-01T00:00:00.000Z</t>
  </si>
  <si>
    <t>2020-02-01T00:00:00.000Z</t>
  </si>
  <si>
    <t>2020-03-01T00:00:00.000Z</t>
  </si>
  <si>
    <t>2020-04-01T00:00:00.000Z</t>
  </si>
  <si>
    <t>2020-05-01T00:00:00.000Z</t>
  </si>
  <si>
    <t>2020-06-01T00:00:00.000Z</t>
  </si>
  <si>
    <t>2020-07-01T00:00:00.000Z</t>
  </si>
  <si>
    <t>2020-08-01T00:00:00.000Z</t>
  </si>
  <si>
    <t>2020-09-01T00:00:00.000Z</t>
  </si>
  <si>
    <t>2020-10-01T00:00:00.000Z</t>
  </si>
  <si>
    <t>2020-11-01T00:00:00.000Z</t>
  </si>
  <si>
    <t>2020-12-01T00:00:00.000Z</t>
  </si>
  <si>
    <t>2021-01-01T00:00:00.000Z</t>
  </si>
  <si>
    <t>2021-02-01T00:00:00.000Z</t>
  </si>
  <si>
    <t>2021-03-01T00:00:00.000Z</t>
  </si>
  <si>
    <t>2021-04-01T00:00:00.000Z</t>
  </si>
  <si>
    <t>2021-05-01T00:00:00.000Z</t>
  </si>
  <si>
    <t>2021-06-01T00:00:00.000Z</t>
  </si>
  <si>
    <t>2021-07-01T00:00:00.000Z</t>
  </si>
  <si>
    <t>2021-08-01T00:00:00.000Z</t>
  </si>
  <si>
    <t>2021-09-01T00:00:00.000Z</t>
  </si>
  <si>
    <t>2021-10-01T00:00:00.000Z</t>
  </si>
  <si>
    <t>2021-11-01T00:00:00.000Z</t>
  </si>
  <si>
    <t>2021-12-01T00:00:00.000Z</t>
  </si>
  <si>
    <t>2022-01-01T00:00:00.000Z</t>
  </si>
  <si>
    <t>2022-02-01T00:00:00.000Z</t>
  </si>
  <si>
    <t>2022-03-01T00:00:00.000Z</t>
  </si>
  <si>
    <t>2022-04-01T00:00:00.000Z</t>
  </si>
  <si>
    <t>2022-05-01T00:00:00.000Z</t>
  </si>
  <si>
    <t>2022-06-01T00:00:00.000Z</t>
  </si>
  <si>
    <t>2022-07-01T00:00:00.000Z</t>
  </si>
  <si>
    <t>2022-08-01T00:00:00.000Z</t>
  </si>
  <si>
    <t>2022-09-01T00:00:00.000Z</t>
  </si>
  <si>
    <t>2022-10-01T00:00:00.000Z</t>
  </si>
  <si>
    <t>2022-11-01T00:00:00.000Z</t>
  </si>
  <si>
    <t>2022-12-01T00:00:00.000Z</t>
  </si>
  <si>
    <t>2023-01-01T00:00:00.000Z</t>
  </si>
  <si>
    <t>2023-02-01T00:00:00.000Z</t>
  </si>
  <si>
    <t>2023-03-01T00:00:00.000Z</t>
  </si>
  <si>
    <t>2023-04-01T00:00:00.000Z</t>
  </si>
  <si>
    <t>2023-05-01T00:00:00.000Z</t>
  </si>
  <si>
    <t>2023-06-01T00:00:00.000Z</t>
  </si>
  <si>
    <t>2023-07-01T00:00:00.000Z</t>
  </si>
  <si>
    <t>2023-08-01T00:00:00.000Z</t>
  </si>
  <si>
    <t>2023-09-01T00:00:00.000Z</t>
  </si>
  <si>
    <t>2023-10-01T00:00:00.000Z</t>
  </si>
  <si>
    <t>2023-11-01T00:00:00.000Z</t>
  </si>
  <si>
    <t>2023-12-01T00:00:00.000Z</t>
  </si>
  <si>
    <t>2024-01-01T00:00:00.000Z</t>
  </si>
  <si>
    <t>2024-02-01T00:00:00.000Z</t>
  </si>
  <si>
    <t>2024-03-01T00:00:00.000Z</t>
  </si>
  <si>
    <t>2024-04-01T00:00:00.000Z</t>
  </si>
  <si>
    <t>2024-05-01T00:00:00.000Z</t>
  </si>
  <si>
    <t>2024-06-01T00:00:00.000Z</t>
  </si>
  <si>
    <t>2024-07-01T00:00:00.000Z</t>
  </si>
  <si>
    <t>2024-08-01T00:00:00.000Z</t>
  </si>
  <si>
    <t>2024-09-01T00:00:00.000Z</t>
  </si>
  <si>
    <t>2024-10-01T00:00:00.000Z</t>
  </si>
  <si>
    <t>2024-11-01T00:00:00.000Z</t>
  </si>
  <si>
    <t>2024-12-01T00:00:00.000Z</t>
  </si>
  <si>
    <t>2025-01-01T00:00:00.000Z</t>
  </si>
  <si>
    <t>2025-02-01T00:00:00.000Z</t>
  </si>
  <si>
    <t>2025-03-01T00:00:00.000Z</t>
  </si>
  <si>
    <t>2025-04-01T00:00:00.000Z</t>
  </si>
  <si>
    <t>2025-05-01T00:00:00.000Z</t>
  </si>
  <si>
    <t>2025-06-01T00:00:00.000Z</t>
  </si>
  <si>
    <t>2025-07-01T00:00:00.000Z</t>
  </si>
  <si>
    <t>2025-08-01T00:00:00.000Z</t>
  </si>
  <si>
    <t>2025-09-01T00:00:00.000Z</t>
  </si>
  <si>
    <t>2025-10-01T00:00:00.000Z</t>
  </si>
  <si>
    <t>2025-11-01T00:00:00.000Z</t>
  </si>
  <si>
    <t>2025-12-01T00:00:00.000Z</t>
  </si>
  <si>
    <t>2026-01-01T00:00:00.000Z</t>
  </si>
  <si>
    <t>2026-02-01T00:00:00.000Z</t>
  </si>
  <si>
    <t>2026-03-01T00:00:00.000Z</t>
  </si>
  <si>
    <t>2026-04-01T00:00:00.000Z</t>
  </si>
  <si>
    <t>2026-05-01T00:00:00.000Z</t>
  </si>
  <si>
    <t>2026-06-01T00:00:00.000Z</t>
  </si>
  <si>
    <t>2026-07-01T00:00:00.000Z</t>
  </si>
  <si>
    <t>2026-08-01T00:00:00.000Z</t>
  </si>
  <si>
    <t>2026-09-01T00:00:00.000Z</t>
  </si>
  <si>
    <t>2026-10-01T00:00:00.000Z</t>
  </si>
  <si>
    <t>preliminary</t>
  </si>
  <si>
    <t>quarter_start</t>
  </si>
  <si>
    <t>quarter</t>
  </si>
  <si>
    <t>real_gdp_bn2017usd_saar</t>
  </si>
  <si>
    <t>real_gdp_lag1</t>
  </si>
  <si>
    <t>real_gdp_lag4</t>
  </si>
  <si>
    <t>real_gdp_qoq_annualized_official_pct</t>
  </si>
  <si>
    <t>real_gdp_qoq_annualized_calculated_pct</t>
  </si>
  <si>
    <t>real_gdp_yoy_pct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</si>
  <si>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</si>
  <si>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</si>
  <si>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</si>
  <si>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</si>
  <si>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</si>
  <si>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</si>
  <si>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</si>
  <si>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</si>
  <si>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</si>
  <si>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</si>
  <si>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</si>
  <si>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</si>
  <si>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</si>
  <si>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</si>
  <si>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</si>
  <si>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</si>
  <si>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</si>
  <si>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</si>
  <si>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</si>
  <si>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</si>
  <si>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</si>
  <si>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</si>
  <si>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</si>
  <si>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</si>
  <si>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</si>
  <si>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</si>
  <si>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</si>
  <si>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</si>
  <si>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</si>
  <si>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</si>
  <si>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</si>
  <si>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</si>
  <si>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</si>
  <si>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</si>
  <si>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</si>
  <si>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</si>
  <si>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</si>
  <si>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</si>
  <si>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</si>
  <si>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</si>
  <si>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</si>
  <si>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</si>
  <si>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</si>
  <si>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</si>
  <si>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</si>
  <si>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</si>
  <si>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</si>
  <si>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</si>
  <si>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</si>
  <si>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</si>
  <si>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</si>
  <si>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</si>
  <si>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</si>
  <si>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</si>
  <si>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</si>
  <si>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</si>
  <si>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</si>
  <si>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</si>
  <si>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</si>
  <si>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</si>
  <si>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</si>
  <si>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</si>
  <si>
    <t>2025Q3</t>
  </si>
  <si>
    <t>2025Q4</t>
  </si>
  <si>
    <t>2026Q1</t>
  </si>
  <si>
    <t>2026Q2</t>
  </si>
  <si>
    <t>Variable</t>
  </si>
  <si>
    <t>Description</t>
  </si>
  <si>
    <t>Publisher / download route</t>
  </si>
  <si>
    <t>Frequency</t>
  </si>
  <si>
    <t>Units</t>
  </si>
  <si>
    <t>Start</t>
  </si>
  <si>
    <t>Latest observation</t>
  </si>
  <si>
    <t>Source URL</t>
  </si>
  <si>
    <t>Definition / timing notes</t>
  </si>
  <si>
    <t>Consumer sentiment index</t>
  </si>
  <si>
    <t>University of Michigan</t>
  </si>
  <si>
    <t>Monthly</t>
  </si>
  <si>
    <t>1966 Q1=100; NSA</t>
  </si>
  <si>
    <t>2010-01</t>
  </si>
  <si>
    <t>2026-10 preliminary</t>
  </si>
  <si>
    <t>https://www.sca.isr.umich.edu/files/tbmics.csv</t>
  </si>
  <si>
    <t>Final monthly series through September; October preliminary from saved homepage.</t>
  </si>
  <si>
    <t>Current economic conditions index</t>
  </si>
  <si>
    <t>https://www.sca.isr.umich.edu/files/tbmiccice.csv</t>
  </si>
  <si>
    <t>Final through September; October preliminary from homepage.</t>
  </si>
  <si>
    <t>Consumer expectations index</t>
  </si>
  <si>
    <t>https://www.sca.isr.umich.edu/</t>
  </si>
  <si>
    <t>Preliminary October values 46.3 / 44.7 / 47.3; stored separately by status.</t>
  </si>
  <si>
    <t>U-3 unemployment rate</t>
  </si>
  <si>
    <t>BLS, LNS14000000</t>
  </si>
  <si>
    <t>Percent; SA</t>
  </si>
  <si>
    <t>2026-09</t>
  </si>
  <si>
    <t>https://www.bls.gov/charts/employment-situation/civilian-unemployment-rate.htm</t>
  </si>
  <si>
    <t>Direct BLS total rate; matched against FRED UNRATE. Latest release 2026-10-02.</t>
  </si>
  <si>
    <t>Headline PCE price index</t>
  </si>
  <si>
    <t>BEA, via Federal Reserve FRED PCEPI</t>
  </si>
  <si>
    <t>2017=100; SA</t>
  </si>
  <si>
    <t>2026-08</t>
  </si>
  <si>
    <t>https://fred.stlouisfed.org/series/PCEPI</t>
  </si>
  <si>
    <t>BEA official definition: https://www.bea.gov/data/personal-consumption-expenditures-price-index ; latest release 2026-09-30.</t>
  </si>
  <si>
    <t>Headline PCE inflation, year over year</t>
  </si>
  <si>
    <t>Calculated from PCEPI</t>
  </si>
  <si>
    <t>Percent (3.4 means 3.4%)</t>
  </si>
  <si>
    <t>100*(PCE_t/PCE_t-12 - 1). 2009 source observations retained for warm-up.</t>
  </si>
  <si>
    <t>Real gross domestic product</t>
  </si>
  <si>
    <t>BEA, via Federal Reserve FRED GDPC1</t>
  </si>
  <si>
    <t>Quarterly</t>
  </si>
  <si>
    <t>Billions of chained 2017 dollars; SAAR</t>
  </si>
  <si>
    <t>https://fred.stlouisfed.org/series/GDPC1</t>
  </si>
  <si>
    <t>Official BEA page: https://www.bea.gov/data/gdp/gross-domestic-product ; latest release 2026-09-30. No monthly interpolation.</t>
  </si>
  <si>
    <t>Real GDP growth, quarterly annualized</t>
  </si>
  <si>
    <t>BEA, via FRED A191RL1Q225SBEA</t>
  </si>
  <si>
    <t>Percent</t>
  </si>
  <si>
    <t>https://fred.stlouisfed.org/series/A191RL1Q225SBEA</t>
  </si>
  <si>
    <t>Official published growth. Separately calculate 100*((GDP_t/GDP_t-1)^4-1), allowing rounding differences.</t>
  </si>
  <si>
    <t>Real GDP growth, year over year</t>
  </si>
  <si>
    <t>Calculated from GDPC1</t>
  </si>
  <si>
    <t>100*(GDP_t/GDP_t-4-1); distinct from annualized quarterly growth.</t>
  </si>
  <si>
    <t>Real disposable personal income</t>
  </si>
  <si>
    <t>BEA, via FRED DSPIC96</t>
  </si>
  <si>
    <t>https://fred.stlouisfed.org/series/DSPIC96</t>
  </si>
  <si>
    <t>Aggregate personal income, not median household income or per-capita income.</t>
  </si>
  <si>
    <t>U-6 labor underutilization rate</t>
  </si>
  <si>
    <t>BLS, via FRED U6RATE</t>
  </si>
  <si>
    <t>https://fred.stlouisfed.org/series/U6RATE</t>
  </si>
  <si>
    <t>Broader labor underutilization measure.</t>
  </si>
  <si>
    <t>Cumulative PCE price increase since Jan 2010</t>
  </si>
  <si>
    <t>100*(PCE_t/PCE_Jan2010-1). Fixed January 2010 base retained in raw source.</t>
  </si>
  <si>
    <t>Usage notes</t>
  </si>
  <si>
    <t>Details</t>
  </si>
  <si>
    <t>Snapshot date</t>
  </si>
  <si>
    <t>2026-10-14</t>
  </si>
  <si>
    <t>Version status</t>
  </si>
  <si>
    <t>Latest downloaded/revised historical levels; NOT a complete historical real-time/vintage panel.</t>
  </si>
  <si>
    <t>Publication dates</t>
  </si>
  <si>
    <t>Observation month/quarter is not publication date. Historical per-observation publication dates and first-release versions are not populated.</t>
  </si>
  <si>
    <t>Forecasting use</t>
  </si>
  <si>
    <t>Before out-of-sample predictions, obtain historical release dates/vintages (ALFRED or agency archives) and join only records available by prediction date.</t>
  </si>
  <si>
    <t>GDP timing</t>
  </si>
  <si>
    <t>Keep quarterly observations separate. For a monthly model, carry the most recently RELEASED GDP estimate with its quarter and vintage; do not interpolate or join future quarters.</t>
  </si>
  <si>
    <t>Missing data</t>
  </si>
  <si>
    <t>Blank values mean not yet available or missing. Never replace missing values with zero; September/October PCE and October unemployment remain blank.</t>
  </si>
  <si>
    <t>Survey status</t>
  </si>
  <si>
    <t>Monthly official CSV has final readings through September 2026. October 2026 is preliminary and may change.</t>
  </si>
  <si>
    <t>Survey comparability</t>
  </si>
  <si>
    <t>Check Michigan survey transition to web collection before interpreting structural breaks; no method adjustment applied here.</t>
  </si>
  <si>
    <t>Source credit</t>
  </si>
  <si>
    <t>Surveys of Consumers, University of Michigan; US Bureau of Labor Statistics; US Bureau of Economic Analysis; Federal Reserve Bank of St. Louis. Accessed 2026-10-14.</t>
  </si>
  <si>
    <t>Reproduce</t>
  </si>
  <si>
    <t>Run python prepare_data.py in the data package to rebuild processed CSV files from saved raw files. This package is fixed to the 2026-10-14 snapshot; a future update requires a new snapshot and cutoff.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</si>
</sst>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\-mm\-dd"/>
    <numFmt numFmtId="179" formatCode="#,##0.000"/>
    <numFmt numFmtId="180" formatCode="yyyy\-mm"/>
    <numFmt numFmtId="181" formatCode="0.0"/>
    <numFmt numFmtId="182" formatCode="0.000"/>
  </numFmts>
  <fonts count="25">
    <font>
      <sz val="11"/>
      <name val="Carlito"/>
      <charset val="134"/>
    </font>
    <font>
      <b/>
      <sz val="10"/>
      <color rgb="FFFFFFFF"/>
      <name val="Arial"/>
      <charset val="134"/>
    </font>
    <font>
      <sz val="10"/>
      <color rgb="FF172B4D"/>
      <name val="Arial"/>
      <charset val="134"/>
    </font>
    <font>
      <b/>
      <sz val="11"/>
      <color rgb="FFFFFFFF"/>
      <name val="Carlito"/>
      <charset val="134"/>
    </font>
    <font>
      <sz val="1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233C6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176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5" borderId="4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0" fillId="0" borderId="0"/>
  </cellStyleXfs>
  <cellXfs count="13">
    <xf numFmtId="0" fontId="0" fillId="0" borderId="0" xfId="49"/>
    <xf numFmtId="0" fontId="1" fillId="2" borderId="0" xfId="49" applyNumberFormat="1" applyFont="1" applyFill="1" applyBorder="1" applyAlignment="1">
      <alignment horizontal="center" vertical="center" wrapText="1"/>
    </xf>
    <xf numFmtId="0" fontId="2" fillId="0" borderId="0" xfId="49" applyNumberFormat="1" applyFont="1" applyFill="1" applyBorder="1" applyAlignment="1">
      <alignment vertical="center"/>
    </xf>
    <xf numFmtId="0" fontId="3" fillId="2" borderId="0" xfId="49" applyNumberFormat="1" applyFont="1" applyFill="1" applyBorder="1"/>
    <xf numFmtId="0" fontId="4" fillId="0" borderId="0" xfId="49" applyNumberFormat="1" applyFont="1" applyFill="1" applyBorder="1"/>
    <xf numFmtId="178" fontId="2" fillId="0" borderId="0" xfId="49" applyNumberFormat="1" applyFont="1" applyFill="1" applyBorder="1" applyAlignment="1">
      <alignment vertical="center"/>
    </xf>
    <xf numFmtId="179" fontId="2" fillId="0" borderId="0" xfId="49" applyNumberFormat="1" applyFont="1" applyFill="1" applyBorder="1" applyAlignment="1">
      <alignment vertical="center"/>
    </xf>
    <xf numFmtId="2" fontId="2" fillId="0" borderId="0" xfId="49" applyNumberFormat="1" applyFont="1" applyFill="1" applyBorder="1" applyAlignment="1">
      <alignment vertical="center"/>
    </xf>
    <xf numFmtId="0" fontId="0" fillId="0" borderId="0" xfId="49" applyAlignment="1">
      <alignment horizontal="center"/>
    </xf>
    <xf numFmtId="180" fontId="2" fillId="0" borderId="0" xfId="49" applyNumberFormat="1" applyFont="1" applyFill="1" applyBorder="1" applyAlignment="1">
      <alignment vertical="center"/>
    </xf>
    <xf numFmtId="181" fontId="2" fillId="0" borderId="0" xfId="49" applyNumberFormat="1" applyFont="1" applyFill="1" applyBorder="1" applyAlignment="1">
      <alignment vertical="center"/>
    </xf>
    <xf numFmtId="0" fontId="2" fillId="0" borderId="0" xfId="49" applyNumberFormat="1" applyFont="1" applyFill="1" applyBorder="1" applyAlignment="1">
      <alignment horizontal="center" vertical="center"/>
    </xf>
    <xf numFmtId="182" fontId="2" fillId="0" borderId="0" xfId="49" applyNumberFormat="1" applyFont="1" applyFill="1" applyBorder="1" applyAlignme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8">
    <dxf>
      <alignment horizontal="center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MonthlyTable" displayName="MonthlyTable" ref="A1:L203" totalsRowShown="0">
  <tableColumns count="12">
    <tableColumn id="1" name="month"/>
    <tableColumn id="2" name="michigan_sentiment"/>
    <tableColumn id="3" name="michigan_current_conditions"/>
    <tableColumn id="4" name="michigan_expectations"/>
    <tableColumn id="5" name="survey_status" dataDxfId="0"/>
    <tableColumn id="6" name="u3_unemployment_pct_sa"/>
    <tableColumn id="7" name="pce_price_index_2017_100_sa"/>
    <tableColumn id="8" name="pce_index_lag12"/>
    <tableColumn id="9" name="pce_inflation_yoy_pct"/>
    <tableColumn id="10" name="real_disposable_income_bn2017usd_saar"/>
    <tableColumn id="11" name="u6_underutilization_pct_sa"/>
    <tableColumn id="12" name="pce_cumulative_since_jan2010_pc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QuarterlyGDPTable" displayName="QuarterlyGDPTable" ref="A1:H67" totalsRowShown="0">
  <tableColumns count="8">
    <tableColumn id="1" name="quarter_start"/>
    <tableColumn id="2" name="quarter"/>
    <tableColumn id="3" name="real_gdp_bn2017usd_saar"/>
    <tableColumn id="4" name="real_gdp_lag1"/>
    <tableColumn id="5" name="real_gdp_lag4"/>
    <tableColumn id="6" name="real_gdp_qoq_annualized_official_pct"/>
    <tableColumn id="7" name="real_gdp_qoq_annualized_calculated_pct"/>
    <tableColumn id="8" name="real_gdp_yoy_pc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SourcesandnotesTable" displayName="SourcesandnotesTable" ref="A1:I13" totalsRowShown="0">
  <tableColumns count="9">
    <tableColumn id="1" name="Variable"/>
    <tableColumn id="2" name="Description"/>
    <tableColumn id="3" name="Publisher / download route"/>
    <tableColumn id="4" name="Frequency"/>
    <tableColumn id="5" name="Units"/>
    <tableColumn id="6" name="Start"/>
    <tableColumn id="7" name="Latest observation"/>
    <tableColumn id="8" name="Source URL"/>
    <tableColumn id="9" name="Definition / timing 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33C60"/>
  </sheetPr>
  <dimension ref="A1:L203"/>
  <sheetViews>
    <sheetView showGridLines="0" tabSelected="1" workbookViewId="0">
      <pane xSplit="1" ySplit="1" topLeftCell="B46" activePane="bottomRight" state="frozen"/>
      <selection/>
      <selection pane="topRight"/>
      <selection pane="bottomLeft"/>
      <selection pane="bottomRight" activeCell="E1" sqref="E$1:E$1048576"/>
    </sheetView>
  </sheetViews>
  <sheetFormatPr defaultColWidth="9" defaultRowHeight="13.5"/>
  <cols>
    <col min="1" max="1" width="30.0083333333333" customWidth="1"/>
    <col min="2" max="2" width="19" customWidth="1"/>
    <col min="3" max="3" width="21" customWidth="1"/>
    <col min="4" max="4" width="20" customWidth="1"/>
    <col min="5" max="5" width="16" style="8" customWidth="1"/>
    <col min="6" max="6" width="20" customWidth="1"/>
    <col min="7" max="7" width="23" customWidth="1"/>
    <col min="8" max="8" width="18" customWidth="1"/>
    <col min="9" max="9" width="21" customWidth="1"/>
    <col min="10" max="10" width="27" customWidth="1"/>
    <col min="11" max="11" width="24" customWidth="1"/>
    <col min="12" max="12" width="25" customWidth="1"/>
  </cols>
  <sheetData>
    <row r="1" ht="48" customHeight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21" customHeight="1" spans="1:12">
      <c r="A2" s="9" t="s">
        <v>12</v>
      </c>
      <c r="B2" s="10">
        <v>74.4</v>
      </c>
      <c r="C2" s="10">
        <v>81.1</v>
      </c>
      <c r="D2" s="10">
        <v>70.1</v>
      </c>
      <c r="E2" s="11" t="s">
        <v>13</v>
      </c>
      <c r="F2" s="10">
        <v>9.8</v>
      </c>
      <c r="G2" s="12">
        <v>90.136</v>
      </c>
      <c r="H2" s="12">
        <v>88.108</v>
      </c>
      <c r="I2" s="7">
        <f t="shared" ref="I2:I65" si="0">IF(OR(G2="",H2=""),"",100*(G2/H2-1))</f>
        <v>2.30172061560812</v>
      </c>
      <c r="J2" s="12">
        <v>12285.8</v>
      </c>
      <c r="K2" s="10">
        <v>16.6</v>
      </c>
      <c r="L2" s="7">
        <f t="shared" ref="L2:L65" si="1">IF(G2="","",100*(G2/$G$2-1))</f>
        <v>0</v>
      </c>
    </row>
    <row r="3" ht="21" customHeight="1" spans="1:12">
      <c r="A3" s="9" t="s">
        <v>14</v>
      </c>
      <c r="B3" s="10">
        <v>73.6</v>
      </c>
      <c r="C3" s="10">
        <v>81.8</v>
      </c>
      <c r="D3" s="10">
        <v>68.4</v>
      </c>
      <c r="E3" s="11" t="s">
        <v>13</v>
      </c>
      <c r="F3" s="10">
        <v>9.8</v>
      </c>
      <c r="G3" s="12">
        <v>90.134</v>
      </c>
      <c r="H3" s="12">
        <v>88.266</v>
      </c>
      <c r="I3" s="7">
        <f t="shared" si="0"/>
        <v>2.11633018376272</v>
      </c>
      <c r="J3" s="12">
        <v>12292</v>
      </c>
      <c r="K3" s="10">
        <v>17</v>
      </c>
      <c r="L3" s="7">
        <f t="shared" si="1"/>
        <v>-0.00221886926421444</v>
      </c>
    </row>
    <row r="4" ht="21" customHeight="1" spans="1:12">
      <c r="A4" s="9" t="s">
        <v>15</v>
      </c>
      <c r="B4" s="10">
        <v>73.6</v>
      </c>
      <c r="C4" s="10">
        <v>82.4</v>
      </c>
      <c r="D4" s="10">
        <v>67.9</v>
      </c>
      <c r="E4" s="11" t="s">
        <v>13</v>
      </c>
      <c r="F4" s="10">
        <v>9.9</v>
      </c>
      <c r="G4" s="12">
        <v>90.261</v>
      </c>
      <c r="H4" s="12">
        <v>88.169</v>
      </c>
      <c r="I4" s="7">
        <f t="shared" si="0"/>
        <v>2.37271603398019</v>
      </c>
      <c r="J4" s="12">
        <v>12340.3</v>
      </c>
      <c r="K4" s="10">
        <v>17.1</v>
      </c>
      <c r="L4" s="7">
        <f t="shared" si="1"/>
        <v>0.138679329013924</v>
      </c>
    </row>
    <row r="5" ht="21" customHeight="1" spans="1:12">
      <c r="A5" s="9" t="s">
        <v>16</v>
      </c>
      <c r="B5" s="10">
        <v>72.2</v>
      </c>
      <c r="C5" s="10">
        <v>81</v>
      </c>
      <c r="D5" s="10">
        <v>66.5</v>
      </c>
      <c r="E5" s="11" t="s">
        <v>13</v>
      </c>
      <c r="F5" s="10">
        <v>9.9</v>
      </c>
      <c r="G5" s="12">
        <v>90.31</v>
      </c>
      <c r="H5" s="12">
        <v>88.295</v>
      </c>
      <c r="I5" s="7">
        <f t="shared" si="0"/>
        <v>2.28212243048871</v>
      </c>
      <c r="J5" s="12">
        <v>12447.1</v>
      </c>
      <c r="K5" s="10">
        <v>17.2</v>
      </c>
      <c r="L5" s="7">
        <f t="shared" si="1"/>
        <v>0.193041625987411</v>
      </c>
    </row>
    <row r="6" ht="21" customHeight="1" spans="1:12">
      <c r="A6" s="9" t="s">
        <v>17</v>
      </c>
      <c r="B6" s="10">
        <v>73.6</v>
      </c>
      <c r="C6" s="10">
        <v>81</v>
      </c>
      <c r="D6" s="10">
        <v>68.8</v>
      </c>
      <c r="E6" s="11" t="s">
        <v>13</v>
      </c>
      <c r="F6" s="10">
        <v>9.6</v>
      </c>
      <c r="G6" s="12">
        <v>90.339</v>
      </c>
      <c r="H6" s="12">
        <v>88.387</v>
      </c>
      <c r="I6" s="7">
        <f t="shared" si="0"/>
        <v>2.20846957131704</v>
      </c>
      <c r="J6" s="12">
        <v>12540.3</v>
      </c>
      <c r="K6" s="10">
        <v>16.7</v>
      </c>
      <c r="L6" s="7">
        <f t="shared" si="1"/>
        <v>0.225215230318643</v>
      </c>
    </row>
    <row r="7" ht="21" customHeight="1" spans="1:12">
      <c r="A7" s="9" t="s">
        <v>18</v>
      </c>
      <c r="B7" s="10">
        <v>76</v>
      </c>
      <c r="C7" s="10">
        <v>85.6</v>
      </c>
      <c r="D7" s="10">
        <v>69.8</v>
      </c>
      <c r="E7" s="11" t="s">
        <v>13</v>
      </c>
      <c r="F7" s="10">
        <v>9.4</v>
      </c>
      <c r="G7" s="12">
        <v>90.301</v>
      </c>
      <c r="H7" s="12">
        <v>88.912</v>
      </c>
      <c r="I7" s="7">
        <f t="shared" si="0"/>
        <v>1.56221882310599</v>
      </c>
      <c r="J7" s="12">
        <v>12544.3</v>
      </c>
      <c r="K7" s="10">
        <v>16.4</v>
      </c>
      <c r="L7" s="7">
        <f t="shared" si="1"/>
        <v>0.183056714298391</v>
      </c>
    </row>
    <row r="8" ht="21" customHeight="1" spans="1:12">
      <c r="A8" s="9" t="s">
        <v>19</v>
      </c>
      <c r="B8" s="10">
        <v>67.8</v>
      </c>
      <c r="C8" s="10">
        <v>76.5</v>
      </c>
      <c r="D8" s="10">
        <v>62.3</v>
      </c>
      <c r="E8" s="11" t="s">
        <v>13</v>
      </c>
      <c r="F8" s="10">
        <v>9.4</v>
      </c>
      <c r="G8" s="12">
        <v>90.378</v>
      </c>
      <c r="H8" s="12">
        <v>88.922</v>
      </c>
      <c r="I8" s="7">
        <f t="shared" si="0"/>
        <v>1.63739007219812</v>
      </c>
      <c r="J8" s="12">
        <v>12554.2</v>
      </c>
      <c r="K8" s="10">
        <v>16.4</v>
      </c>
      <c r="L8" s="7">
        <f t="shared" si="1"/>
        <v>0.268483180970991</v>
      </c>
    </row>
    <row r="9" ht="21" customHeight="1" spans="1:12">
      <c r="A9" s="9" t="s">
        <v>20</v>
      </c>
      <c r="B9" s="10">
        <v>68.9</v>
      </c>
      <c r="C9" s="10">
        <v>78.3</v>
      </c>
      <c r="D9" s="10">
        <v>62.9</v>
      </c>
      <c r="E9" s="11" t="s">
        <v>13</v>
      </c>
      <c r="F9" s="10">
        <v>9.5</v>
      </c>
      <c r="G9" s="12">
        <v>90.502</v>
      </c>
      <c r="H9" s="12">
        <v>89.18</v>
      </c>
      <c r="I9" s="7">
        <f t="shared" si="0"/>
        <v>1.48239515586452</v>
      </c>
      <c r="J9" s="12">
        <v>12591.4</v>
      </c>
      <c r="K9" s="10">
        <v>16.5</v>
      </c>
      <c r="L9" s="7">
        <f t="shared" si="1"/>
        <v>0.406053075352797</v>
      </c>
    </row>
    <row r="10" ht="21" customHeight="1" spans="1:12">
      <c r="A10" s="9" t="s">
        <v>21</v>
      </c>
      <c r="B10" s="10">
        <v>68.2</v>
      </c>
      <c r="C10" s="10">
        <v>79.6</v>
      </c>
      <c r="D10" s="10">
        <v>60.9</v>
      </c>
      <c r="E10" s="11" t="s">
        <v>13</v>
      </c>
      <c r="F10" s="10">
        <v>9.5</v>
      </c>
      <c r="G10" s="12">
        <v>90.592</v>
      </c>
      <c r="H10" s="12">
        <v>89.324</v>
      </c>
      <c r="I10" s="7">
        <f t="shared" si="0"/>
        <v>1.4195512964041</v>
      </c>
      <c r="J10" s="12">
        <v>12589.9</v>
      </c>
      <c r="K10" s="10">
        <v>16.9</v>
      </c>
      <c r="L10" s="7">
        <f t="shared" si="1"/>
        <v>0.505902192242846</v>
      </c>
    </row>
    <row r="11" ht="21" customHeight="1" spans="1:12">
      <c r="A11" s="9" t="s">
        <v>22</v>
      </c>
      <c r="B11" s="10">
        <v>67.7</v>
      </c>
      <c r="C11" s="10">
        <v>76.6</v>
      </c>
      <c r="D11" s="10">
        <v>61.9</v>
      </c>
      <c r="E11" s="11" t="s">
        <v>13</v>
      </c>
      <c r="F11" s="10">
        <v>9.4</v>
      </c>
      <c r="G11" s="12">
        <v>90.881</v>
      </c>
      <c r="H11" s="12">
        <v>89.663</v>
      </c>
      <c r="I11" s="7">
        <f t="shared" si="0"/>
        <v>1.35841986103522</v>
      </c>
      <c r="J11" s="12">
        <v>12592.5</v>
      </c>
      <c r="K11" s="10">
        <v>16.6</v>
      </c>
      <c r="L11" s="7">
        <f t="shared" si="1"/>
        <v>0.826528800923065</v>
      </c>
    </row>
    <row r="12" ht="21" customHeight="1" spans="1:12">
      <c r="A12" s="9" t="s">
        <v>23</v>
      </c>
      <c r="B12" s="10">
        <v>71.6</v>
      </c>
      <c r="C12" s="10">
        <v>82.1</v>
      </c>
      <c r="D12" s="10">
        <v>64.8</v>
      </c>
      <c r="E12" s="11" t="s">
        <v>13</v>
      </c>
      <c r="F12" s="10">
        <v>9.8</v>
      </c>
      <c r="G12" s="12">
        <v>91.062</v>
      </c>
      <c r="H12" s="12">
        <v>89.887</v>
      </c>
      <c r="I12" s="7">
        <f t="shared" si="0"/>
        <v>1.30719681377729</v>
      </c>
      <c r="J12" s="12">
        <v>12605.1</v>
      </c>
      <c r="K12" s="10">
        <v>16.9</v>
      </c>
      <c r="L12" s="7">
        <f t="shared" si="1"/>
        <v>1.02733646933524</v>
      </c>
    </row>
    <row r="13" ht="21" customHeight="1" spans="1:12">
      <c r="A13" s="9" t="s">
        <v>24</v>
      </c>
      <c r="B13" s="10">
        <v>74.5</v>
      </c>
      <c r="C13" s="10">
        <v>85.3</v>
      </c>
      <c r="D13" s="10">
        <v>67.5</v>
      </c>
      <c r="E13" s="11" t="s">
        <v>13</v>
      </c>
      <c r="F13" s="10">
        <v>9.3</v>
      </c>
      <c r="G13" s="12">
        <v>91.268</v>
      </c>
      <c r="H13" s="12">
        <v>89.939</v>
      </c>
      <c r="I13" s="7">
        <f t="shared" si="0"/>
        <v>1.47766819733375</v>
      </c>
      <c r="J13" s="12">
        <v>12680.6</v>
      </c>
      <c r="K13" s="10">
        <v>16.6</v>
      </c>
      <c r="L13" s="7">
        <f t="shared" si="1"/>
        <v>1.25588000355019</v>
      </c>
    </row>
    <row r="14" ht="21" customHeight="1" spans="1:12">
      <c r="A14" s="9" t="s">
        <v>25</v>
      </c>
      <c r="B14" s="10">
        <v>74.2</v>
      </c>
      <c r="C14" s="10">
        <v>81.8</v>
      </c>
      <c r="D14" s="10">
        <v>69.3</v>
      </c>
      <c r="E14" s="11" t="s">
        <v>13</v>
      </c>
      <c r="F14" s="10">
        <v>9.1</v>
      </c>
      <c r="G14" s="12">
        <v>91.542</v>
      </c>
      <c r="H14" s="12">
        <v>90.136</v>
      </c>
      <c r="I14" s="7">
        <f t="shared" si="0"/>
        <v>1.55986509274875</v>
      </c>
      <c r="J14" s="12">
        <v>12740.1</v>
      </c>
      <c r="K14" s="10">
        <v>16.1</v>
      </c>
      <c r="L14" s="7">
        <f t="shared" si="1"/>
        <v>1.55986509274875</v>
      </c>
    </row>
    <row r="15" ht="21" customHeight="1" spans="1:12">
      <c r="A15" s="9" t="s">
        <v>26</v>
      </c>
      <c r="B15" s="10">
        <v>77.5</v>
      </c>
      <c r="C15" s="10">
        <v>86.9</v>
      </c>
      <c r="D15" s="10">
        <v>71.6</v>
      </c>
      <c r="E15" s="11" t="s">
        <v>13</v>
      </c>
      <c r="F15" s="10">
        <v>9</v>
      </c>
      <c r="G15" s="12">
        <v>91.797</v>
      </c>
      <c r="H15" s="12">
        <v>90.134</v>
      </c>
      <c r="I15" s="7">
        <f t="shared" si="0"/>
        <v>1.8450307320212</v>
      </c>
      <c r="J15" s="12">
        <v>12776.6</v>
      </c>
      <c r="K15" s="10">
        <v>16</v>
      </c>
      <c r="L15" s="7">
        <f t="shared" si="1"/>
        <v>1.84277092393716</v>
      </c>
    </row>
    <row r="16" ht="21" customHeight="1" spans="1:12">
      <c r="A16" s="9" t="s">
        <v>27</v>
      </c>
      <c r="B16" s="10">
        <v>67.5</v>
      </c>
      <c r="C16" s="10">
        <v>82.5</v>
      </c>
      <c r="D16" s="10">
        <v>57.9</v>
      </c>
      <c r="E16" s="11" t="s">
        <v>13</v>
      </c>
      <c r="F16" s="10">
        <v>9</v>
      </c>
      <c r="G16" s="12">
        <v>92.166</v>
      </c>
      <c r="H16" s="12">
        <v>90.261</v>
      </c>
      <c r="I16" s="7">
        <f t="shared" si="0"/>
        <v>2.1105460830259</v>
      </c>
      <c r="J16" s="12">
        <v>12742.7</v>
      </c>
      <c r="K16" s="10">
        <v>16</v>
      </c>
      <c r="L16" s="7">
        <f t="shared" si="1"/>
        <v>2.25215230318629</v>
      </c>
    </row>
    <row r="17" ht="21" customHeight="1" spans="1:12">
      <c r="A17" s="9" t="s">
        <v>28</v>
      </c>
      <c r="B17" s="10">
        <v>69.8</v>
      </c>
      <c r="C17" s="10">
        <v>82.5</v>
      </c>
      <c r="D17" s="10">
        <v>61.6</v>
      </c>
      <c r="E17" s="11" t="s">
        <v>13</v>
      </c>
      <c r="F17" s="10">
        <v>9.1</v>
      </c>
      <c r="G17" s="12">
        <v>92.557</v>
      </c>
      <c r="H17" s="12">
        <v>90.31</v>
      </c>
      <c r="I17" s="7">
        <f t="shared" si="0"/>
        <v>2.48809655630606</v>
      </c>
      <c r="J17" s="12">
        <v>12721.3</v>
      </c>
      <c r="K17" s="10">
        <v>16.1</v>
      </c>
      <c r="L17" s="7">
        <f t="shared" si="1"/>
        <v>2.68594124434189</v>
      </c>
    </row>
    <row r="18" ht="21" customHeight="1" spans="1:12">
      <c r="A18" s="9" t="s">
        <v>29</v>
      </c>
      <c r="B18" s="10">
        <v>74.3</v>
      </c>
      <c r="C18" s="10">
        <v>81.9</v>
      </c>
      <c r="D18" s="10">
        <v>69.5</v>
      </c>
      <c r="E18" s="11" t="s">
        <v>13</v>
      </c>
      <c r="F18" s="10">
        <v>9</v>
      </c>
      <c r="G18" s="12">
        <v>92.838</v>
      </c>
      <c r="H18" s="12">
        <v>90.339</v>
      </c>
      <c r="I18" s="7">
        <f t="shared" si="0"/>
        <v>2.76624713578852</v>
      </c>
      <c r="J18" s="12">
        <v>12705.3</v>
      </c>
      <c r="K18" s="10">
        <v>15.9</v>
      </c>
      <c r="L18" s="7">
        <f t="shared" si="1"/>
        <v>2.99769237596521</v>
      </c>
    </row>
    <row r="19" ht="21" customHeight="1" spans="1:12">
      <c r="A19" s="9" t="s">
        <v>30</v>
      </c>
      <c r="B19" s="10">
        <v>71.5</v>
      </c>
      <c r="C19" s="10">
        <v>82</v>
      </c>
      <c r="D19" s="10">
        <v>64.7</v>
      </c>
      <c r="E19" s="11" t="s">
        <v>13</v>
      </c>
      <c r="F19" s="10">
        <v>9.1</v>
      </c>
      <c r="G19" s="12">
        <v>92.819</v>
      </c>
      <c r="H19" s="12">
        <v>90.301</v>
      </c>
      <c r="I19" s="7">
        <f t="shared" si="0"/>
        <v>2.78845195512785</v>
      </c>
      <c r="J19" s="12">
        <v>12756.9</v>
      </c>
      <c r="K19" s="10">
        <v>16.1</v>
      </c>
      <c r="L19" s="7">
        <f t="shared" si="1"/>
        <v>2.9766131179551</v>
      </c>
    </row>
    <row r="20" ht="21" customHeight="1" spans="1:12">
      <c r="A20" s="9" t="s">
        <v>31</v>
      </c>
      <c r="B20" s="10">
        <v>63.7</v>
      </c>
      <c r="C20" s="10">
        <v>75.7</v>
      </c>
      <c r="D20" s="10">
        <v>55.9</v>
      </c>
      <c r="E20" s="11" t="s">
        <v>13</v>
      </c>
      <c r="F20" s="10">
        <v>9</v>
      </c>
      <c r="G20" s="12">
        <v>92.977</v>
      </c>
      <c r="H20" s="12">
        <v>90.378</v>
      </c>
      <c r="I20" s="7">
        <f t="shared" si="0"/>
        <v>2.87569983845626</v>
      </c>
      <c r="J20" s="12">
        <v>12805.6</v>
      </c>
      <c r="K20" s="10">
        <v>15.9</v>
      </c>
      <c r="L20" s="7">
        <f t="shared" si="1"/>
        <v>3.1519037898287</v>
      </c>
    </row>
    <row r="21" ht="21" customHeight="1" spans="1:12">
      <c r="A21" s="9" t="s">
        <v>32</v>
      </c>
      <c r="B21" s="10">
        <v>55.8</v>
      </c>
      <c r="C21" s="10">
        <v>68.5</v>
      </c>
      <c r="D21" s="10">
        <v>47.6</v>
      </c>
      <c r="E21" s="11" t="s">
        <v>13</v>
      </c>
      <c r="F21" s="10">
        <v>9</v>
      </c>
      <c r="G21" s="12">
        <v>93.196</v>
      </c>
      <c r="H21" s="12">
        <v>90.502</v>
      </c>
      <c r="I21" s="7">
        <f t="shared" si="0"/>
        <v>2.97672979602661</v>
      </c>
      <c r="J21" s="12">
        <v>12799.7</v>
      </c>
      <c r="K21" s="10">
        <v>16.1</v>
      </c>
      <c r="L21" s="7">
        <f t="shared" si="1"/>
        <v>3.39486997426113</v>
      </c>
    </row>
    <row r="22" ht="21" customHeight="1" spans="1:12">
      <c r="A22" s="9" t="s">
        <v>33</v>
      </c>
      <c r="B22" s="10">
        <v>59.5</v>
      </c>
      <c r="C22" s="10">
        <v>75.2</v>
      </c>
      <c r="D22" s="10">
        <v>49.4</v>
      </c>
      <c r="E22" s="11" t="s">
        <v>13</v>
      </c>
      <c r="F22" s="10">
        <v>9</v>
      </c>
      <c r="G22" s="12">
        <v>93.327</v>
      </c>
      <c r="H22" s="12">
        <v>90.592</v>
      </c>
      <c r="I22" s="7">
        <f t="shared" si="0"/>
        <v>3.01903037795832</v>
      </c>
      <c r="J22" s="12">
        <v>12781.7</v>
      </c>
      <c r="K22" s="10">
        <v>16.4</v>
      </c>
      <c r="L22" s="7">
        <f t="shared" si="1"/>
        <v>3.54020591106772</v>
      </c>
    </row>
    <row r="23" ht="21" customHeight="1" spans="1:12">
      <c r="A23" s="9" t="s">
        <v>34</v>
      </c>
      <c r="B23" s="10">
        <v>60.8</v>
      </c>
      <c r="C23" s="10">
        <v>74.9</v>
      </c>
      <c r="D23" s="10">
        <v>51.7</v>
      </c>
      <c r="E23" s="11" t="s">
        <v>13</v>
      </c>
      <c r="F23" s="10">
        <v>8.8</v>
      </c>
      <c r="G23" s="12">
        <v>93.329</v>
      </c>
      <c r="H23" s="12">
        <v>90.881</v>
      </c>
      <c r="I23" s="7">
        <f t="shared" si="0"/>
        <v>2.69363233239071</v>
      </c>
      <c r="J23" s="12">
        <v>12791.9</v>
      </c>
      <c r="K23" s="10">
        <v>15.8</v>
      </c>
      <c r="L23" s="7">
        <f t="shared" si="1"/>
        <v>3.54242478033193</v>
      </c>
    </row>
    <row r="24" ht="21" customHeight="1" spans="1:12">
      <c r="A24" s="9" t="s">
        <v>35</v>
      </c>
      <c r="B24" s="10">
        <v>63.7</v>
      </c>
      <c r="C24" s="10">
        <v>77.4</v>
      </c>
      <c r="D24" s="10">
        <v>54.9</v>
      </c>
      <c r="E24" s="11" t="s">
        <v>13</v>
      </c>
      <c r="F24" s="10">
        <v>8.6</v>
      </c>
      <c r="G24" s="12">
        <v>93.52</v>
      </c>
      <c r="H24" s="12">
        <v>91.062</v>
      </c>
      <c r="I24" s="7">
        <f t="shared" si="0"/>
        <v>2.69925984494082</v>
      </c>
      <c r="J24" s="12">
        <v>12782.7</v>
      </c>
      <c r="K24" s="10">
        <v>15.6</v>
      </c>
      <c r="L24" s="7">
        <f t="shared" si="1"/>
        <v>3.75432679506524</v>
      </c>
    </row>
    <row r="25" ht="21" customHeight="1" spans="1:12">
      <c r="A25" s="9" t="s">
        <v>36</v>
      </c>
      <c r="B25" s="10">
        <v>69.9</v>
      </c>
      <c r="C25" s="10">
        <v>79.6</v>
      </c>
      <c r="D25" s="10">
        <v>63.6</v>
      </c>
      <c r="E25" s="11" t="s">
        <v>13</v>
      </c>
      <c r="F25" s="10">
        <v>8.5</v>
      </c>
      <c r="G25" s="12">
        <v>93.574</v>
      </c>
      <c r="H25" s="12">
        <v>91.268</v>
      </c>
      <c r="I25" s="7">
        <f t="shared" si="0"/>
        <v>2.52662488495419</v>
      </c>
      <c r="J25" s="12">
        <v>12898.5</v>
      </c>
      <c r="K25" s="10">
        <v>15.2</v>
      </c>
      <c r="L25" s="7">
        <f t="shared" si="1"/>
        <v>3.81423626519926</v>
      </c>
    </row>
    <row r="26" ht="21" customHeight="1" spans="1:12">
      <c r="A26" s="9" t="s">
        <v>37</v>
      </c>
      <c r="B26" s="10">
        <v>75</v>
      </c>
      <c r="C26" s="10">
        <v>84.2</v>
      </c>
      <c r="D26" s="10">
        <v>69.1</v>
      </c>
      <c r="E26" s="11" t="s">
        <v>13</v>
      </c>
      <c r="F26" s="10">
        <v>8.3</v>
      </c>
      <c r="G26" s="12">
        <v>93.894</v>
      </c>
      <c r="H26" s="12">
        <v>91.542</v>
      </c>
      <c r="I26" s="7">
        <f t="shared" si="0"/>
        <v>2.56931244674576</v>
      </c>
      <c r="J26" s="12">
        <v>12967.5</v>
      </c>
      <c r="K26" s="10">
        <v>15.1</v>
      </c>
      <c r="L26" s="7">
        <f t="shared" si="1"/>
        <v>4.16925534747494</v>
      </c>
    </row>
    <row r="27" ht="21" customHeight="1" spans="1:12">
      <c r="A27" s="9" t="s">
        <v>38</v>
      </c>
      <c r="B27" s="10">
        <v>75.3</v>
      </c>
      <c r="C27" s="10">
        <v>83</v>
      </c>
      <c r="D27" s="10">
        <v>70.3</v>
      </c>
      <c r="E27" s="11" t="s">
        <v>13</v>
      </c>
      <c r="F27" s="10">
        <v>8.3</v>
      </c>
      <c r="G27" s="12">
        <v>94.104</v>
      </c>
      <c r="H27" s="12">
        <v>91.797</v>
      </c>
      <c r="I27" s="7">
        <f t="shared" si="0"/>
        <v>2.51315402464134</v>
      </c>
      <c r="J27" s="12">
        <v>13029.6</v>
      </c>
      <c r="K27" s="10">
        <v>15</v>
      </c>
      <c r="L27" s="7">
        <f t="shared" si="1"/>
        <v>4.40223662021835</v>
      </c>
    </row>
    <row r="28" ht="21" customHeight="1" spans="1:12">
      <c r="A28" s="9" t="s">
        <v>39</v>
      </c>
      <c r="B28" s="10">
        <v>76.2</v>
      </c>
      <c r="C28" s="10">
        <v>86</v>
      </c>
      <c r="D28" s="10">
        <v>69.8</v>
      </c>
      <c r="E28" s="11" t="s">
        <v>13</v>
      </c>
      <c r="F28" s="10">
        <v>8.2</v>
      </c>
      <c r="G28" s="12">
        <v>94.284</v>
      </c>
      <c r="H28" s="12">
        <v>92.166</v>
      </c>
      <c r="I28" s="7">
        <f t="shared" si="0"/>
        <v>2.29802747216978</v>
      </c>
      <c r="J28" s="12">
        <v>13066.4</v>
      </c>
      <c r="K28" s="10">
        <v>14.6</v>
      </c>
      <c r="L28" s="7">
        <f t="shared" si="1"/>
        <v>4.60193485399842</v>
      </c>
    </row>
    <row r="29" ht="21" customHeight="1" spans="1:12">
      <c r="A29" s="9" t="s">
        <v>40</v>
      </c>
      <c r="B29" s="10">
        <v>76.4</v>
      </c>
      <c r="C29" s="10">
        <v>82.9</v>
      </c>
      <c r="D29" s="10">
        <v>72.3</v>
      </c>
      <c r="E29" s="11" t="s">
        <v>13</v>
      </c>
      <c r="F29" s="10">
        <v>8.2</v>
      </c>
      <c r="G29" s="12">
        <v>94.408</v>
      </c>
      <c r="H29" s="12">
        <v>92.557</v>
      </c>
      <c r="I29" s="7">
        <f t="shared" si="0"/>
        <v>1.99984874185637</v>
      </c>
      <c r="J29" s="12">
        <v>13116.5</v>
      </c>
      <c r="K29" s="10">
        <v>14.7</v>
      </c>
      <c r="L29" s="7">
        <f t="shared" si="1"/>
        <v>4.73950474838023</v>
      </c>
    </row>
    <row r="30" ht="21" customHeight="1" spans="1:12">
      <c r="A30" s="9" t="s">
        <v>41</v>
      </c>
      <c r="B30" s="10">
        <v>79.3</v>
      </c>
      <c r="C30" s="10">
        <v>87.2</v>
      </c>
      <c r="D30" s="10">
        <v>74.3</v>
      </c>
      <c r="E30" s="11" t="s">
        <v>13</v>
      </c>
      <c r="F30" s="10">
        <v>8.2</v>
      </c>
      <c r="G30" s="12">
        <v>94.302</v>
      </c>
      <c r="H30" s="12">
        <v>92.838</v>
      </c>
      <c r="I30" s="7">
        <f t="shared" si="0"/>
        <v>1.57694047695989</v>
      </c>
      <c r="J30" s="12">
        <v>13112.5</v>
      </c>
      <c r="K30" s="10">
        <v>14.8</v>
      </c>
      <c r="L30" s="7">
        <f t="shared" si="1"/>
        <v>4.62190467737642</v>
      </c>
    </row>
    <row r="31" ht="21" customHeight="1" spans="1:12">
      <c r="A31" s="9" t="s">
        <v>42</v>
      </c>
      <c r="B31" s="10">
        <v>73.2</v>
      </c>
      <c r="C31" s="10">
        <v>81.5</v>
      </c>
      <c r="D31" s="10">
        <v>67.8</v>
      </c>
      <c r="E31" s="11" t="s">
        <v>13</v>
      </c>
      <c r="F31" s="10">
        <v>8.2</v>
      </c>
      <c r="G31" s="12">
        <v>94.254</v>
      </c>
      <c r="H31" s="12">
        <v>92.819</v>
      </c>
      <c r="I31" s="7">
        <f t="shared" si="0"/>
        <v>1.54601967269632</v>
      </c>
      <c r="J31" s="12">
        <v>13097.2</v>
      </c>
      <c r="K31" s="10">
        <v>14.7</v>
      </c>
      <c r="L31" s="7">
        <f t="shared" si="1"/>
        <v>4.56865181503507</v>
      </c>
    </row>
    <row r="32" ht="21" customHeight="1" spans="1:12">
      <c r="A32" s="9" t="s">
        <v>43</v>
      </c>
      <c r="B32" s="10">
        <v>72.3</v>
      </c>
      <c r="C32" s="10">
        <v>82.7</v>
      </c>
      <c r="D32" s="10">
        <v>65.6</v>
      </c>
      <c r="E32" s="11" t="s">
        <v>13</v>
      </c>
      <c r="F32" s="10">
        <v>8.2</v>
      </c>
      <c r="G32" s="12">
        <v>94.288</v>
      </c>
      <c r="H32" s="12">
        <v>92.977</v>
      </c>
      <c r="I32" s="7">
        <f t="shared" si="0"/>
        <v>1.41002613549586</v>
      </c>
      <c r="J32" s="12">
        <v>12999.8</v>
      </c>
      <c r="K32" s="10">
        <v>14.7</v>
      </c>
      <c r="L32" s="7">
        <f t="shared" si="1"/>
        <v>4.60637259252685</v>
      </c>
    </row>
    <row r="33" ht="21" customHeight="1" spans="1:12">
      <c r="A33" s="9" t="s">
        <v>44</v>
      </c>
      <c r="B33" s="10">
        <v>74.3</v>
      </c>
      <c r="C33" s="10">
        <v>88.7</v>
      </c>
      <c r="D33" s="10">
        <v>65.1</v>
      </c>
      <c r="E33" s="11" t="s">
        <v>13</v>
      </c>
      <c r="F33" s="10">
        <v>8.1</v>
      </c>
      <c r="G33" s="12">
        <v>94.605</v>
      </c>
      <c r="H33" s="12">
        <v>93.196</v>
      </c>
      <c r="I33" s="7">
        <f t="shared" si="0"/>
        <v>1.51186746212284</v>
      </c>
      <c r="J33" s="12">
        <v>12961.6</v>
      </c>
      <c r="K33" s="10">
        <v>14.6</v>
      </c>
      <c r="L33" s="7">
        <f t="shared" si="1"/>
        <v>4.95806337090618</v>
      </c>
    </row>
    <row r="34" ht="21" customHeight="1" spans="1:12">
      <c r="A34" s="9" t="s">
        <v>45</v>
      </c>
      <c r="B34" s="10">
        <v>78.3</v>
      </c>
      <c r="C34" s="10">
        <v>85.7</v>
      </c>
      <c r="D34" s="10">
        <v>73.5</v>
      </c>
      <c r="E34" s="11" t="s">
        <v>13</v>
      </c>
      <c r="F34" s="10">
        <v>7.8</v>
      </c>
      <c r="G34" s="12">
        <v>94.893</v>
      </c>
      <c r="H34" s="12">
        <v>93.327</v>
      </c>
      <c r="I34" s="7">
        <f t="shared" si="0"/>
        <v>1.67797100517535</v>
      </c>
      <c r="J34" s="12">
        <v>13053.1</v>
      </c>
      <c r="K34" s="10">
        <v>14.8</v>
      </c>
      <c r="L34" s="7">
        <f t="shared" si="1"/>
        <v>5.27758054495431</v>
      </c>
    </row>
    <row r="35" ht="21" customHeight="1" spans="1:12">
      <c r="A35" s="9" t="s">
        <v>46</v>
      </c>
      <c r="B35" s="10">
        <v>82.6</v>
      </c>
      <c r="C35" s="10">
        <v>88.1</v>
      </c>
      <c r="D35" s="10">
        <v>79</v>
      </c>
      <c r="E35" s="11" t="s">
        <v>13</v>
      </c>
      <c r="F35" s="10">
        <v>7.8</v>
      </c>
      <c r="G35" s="12">
        <v>95.174</v>
      </c>
      <c r="H35" s="12">
        <v>93.329</v>
      </c>
      <c r="I35" s="7">
        <f t="shared" si="0"/>
        <v>1.97687749788384</v>
      </c>
      <c r="J35" s="12">
        <v>13142</v>
      </c>
      <c r="K35" s="10">
        <v>14.4</v>
      </c>
      <c r="L35" s="7">
        <f t="shared" si="1"/>
        <v>5.58933167657762</v>
      </c>
    </row>
    <row r="36" ht="21" customHeight="1" spans="1:12">
      <c r="A36" s="9" t="s">
        <v>47</v>
      </c>
      <c r="B36" s="10">
        <v>82.7</v>
      </c>
      <c r="C36" s="10">
        <v>90.6</v>
      </c>
      <c r="D36" s="10">
        <v>77.7</v>
      </c>
      <c r="E36" s="11" t="s">
        <v>13</v>
      </c>
      <c r="F36" s="10">
        <v>7.7</v>
      </c>
      <c r="G36" s="12">
        <v>95.109</v>
      </c>
      <c r="H36" s="12">
        <v>93.52</v>
      </c>
      <c r="I36" s="7">
        <f t="shared" si="0"/>
        <v>1.69910179640718</v>
      </c>
      <c r="J36" s="12">
        <v>13315.7</v>
      </c>
      <c r="K36" s="10">
        <v>14.4</v>
      </c>
      <c r="L36" s="7">
        <f t="shared" si="1"/>
        <v>5.51721842549038</v>
      </c>
    </row>
    <row r="37" ht="21" customHeight="1" spans="1:12">
      <c r="A37" s="9" t="s">
        <v>48</v>
      </c>
      <c r="B37" s="10">
        <v>72.9</v>
      </c>
      <c r="C37" s="10">
        <v>87</v>
      </c>
      <c r="D37" s="10">
        <v>63.8</v>
      </c>
      <c r="E37" s="11" t="s">
        <v>13</v>
      </c>
      <c r="F37" s="10">
        <v>7.9</v>
      </c>
      <c r="G37" s="12">
        <v>95.094</v>
      </c>
      <c r="H37" s="12">
        <v>93.574</v>
      </c>
      <c r="I37" s="7">
        <f t="shared" si="0"/>
        <v>1.62438284138755</v>
      </c>
      <c r="J37" s="12">
        <v>13642.7</v>
      </c>
      <c r="K37" s="10">
        <v>14.4</v>
      </c>
      <c r="L37" s="7">
        <f t="shared" si="1"/>
        <v>5.50057690600869</v>
      </c>
    </row>
    <row r="38" ht="21" customHeight="1" spans="1:12">
      <c r="A38" s="9" t="s">
        <v>49</v>
      </c>
      <c r="B38" s="10">
        <v>73.8</v>
      </c>
      <c r="C38" s="10">
        <v>85</v>
      </c>
      <c r="D38" s="10">
        <v>66.6</v>
      </c>
      <c r="E38" s="11" t="s">
        <v>13</v>
      </c>
      <c r="F38" s="10">
        <v>8</v>
      </c>
      <c r="G38" s="12">
        <v>95.275</v>
      </c>
      <c r="H38" s="12">
        <v>93.894</v>
      </c>
      <c r="I38" s="7">
        <f t="shared" si="0"/>
        <v>1.47080750633692</v>
      </c>
      <c r="J38" s="12">
        <v>12845.5</v>
      </c>
      <c r="K38" s="10">
        <v>14.5</v>
      </c>
      <c r="L38" s="7">
        <f t="shared" si="1"/>
        <v>5.70138457442089</v>
      </c>
    </row>
    <row r="39" ht="21" customHeight="1" spans="1:12">
      <c r="A39" s="9" t="s">
        <v>50</v>
      </c>
      <c r="B39" s="10">
        <v>77.6</v>
      </c>
      <c r="C39" s="10">
        <v>89</v>
      </c>
      <c r="D39" s="10">
        <v>70.2</v>
      </c>
      <c r="E39" s="11" t="s">
        <v>13</v>
      </c>
      <c r="F39" s="10">
        <v>7.7</v>
      </c>
      <c r="G39" s="12">
        <v>95.614</v>
      </c>
      <c r="H39" s="12">
        <v>94.104</v>
      </c>
      <c r="I39" s="7">
        <f t="shared" si="0"/>
        <v>1.60460766811188</v>
      </c>
      <c r="J39" s="12">
        <v>12813.9</v>
      </c>
      <c r="K39" s="10">
        <v>14.3</v>
      </c>
      <c r="L39" s="7">
        <f t="shared" si="1"/>
        <v>6.07748291470667</v>
      </c>
    </row>
    <row r="40" ht="21" customHeight="1" spans="1:12">
      <c r="A40" s="9" t="s">
        <v>51</v>
      </c>
      <c r="B40" s="10">
        <v>78.6</v>
      </c>
      <c r="C40" s="10">
        <v>90.7</v>
      </c>
      <c r="D40" s="10">
        <v>70.8</v>
      </c>
      <c r="E40" s="11" t="s">
        <v>13</v>
      </c>
      <c r="F40" s="10">
        <v>7.5</v>
      </c>
      <c r="G40" s="12">
        <v>95.488</v>
      </c>
      <c r="H40" s="12">
        <v>94.284</v>
      </c>
      <c r="I40" s="7">
        <f t="shared" si="0"/>
        <v>1.2769929150227</v>
      </c>
      <c r="J40" s="12">
        <v>12852.1</v>
      </c>
      <c r="K40" s="10">
        <v>13.9</v>
      </c>
      <c r="L40" s="7">
        <f t="shared" si="1"/>
        <v>5.93769415106062</v>
      </c>
    </row>
    <row r="41" ht="21" customHeight="1" spans="1:12">
      <c r="A41" s="9" t="s">
        <v>52</v>
      </c>
      <c r="B41" s="10">
        <v>76.4</v>
      </c>
      <c r="C41" s="10">
        <v>89.9</v>
      </c>
      <c r="D41" s="10">
        <v>67.8</v>
      </c>
      <c r="E41" s="11" t="s">
        <v>13</v>
      </c>
      <c r="F41" s="10">
        <v>7.6</v>
      </c>
      <c r="G41" s="12">
        <v>95.391</v>
      </c>
      <c r="H41" s="12">
        <v>94.408</v>
      </c>
      <c r="I41" s="7">
        <f t="shared" si="0"/>
        <v>1.04122531988815</v>
      </c>
      <c r="J41" s="12">
        <v>12893.4</v>
      </c>
      <c r="K41" s="10">
        <v>14</v>
      </c>
      <c r="L41" s="7">
        <f t="shared" si="1"/>
        <v>5.83007899174581</v>
      </c>
    </row>
    <row r="42" ht="21" customHeight="1" spans="1:12">
      <c r="A42" s="9" t="s">
        <v>53</v>
      </c>
      <c r="B42" s="10">
        <v>84.5</v>
      </c>
      <c r="C42" s="10">
        <v>98</v>
      </c>
      <c r="D42" s="10">
        <v>75.8</v>
      </c>
      <c r="E42" s="11" t="s">
        <v>13</v>
      </c>
      <c r="F42" s="10">
        <v>7.5</v>
      </c>
      <c r="G42" s="12">
        <v>95.461</v>
      </c>
      <c r="H42" s="12">
        <v>94.302</v>
      </c>
      <c r="I42" s="7">
        <f t="shared" si="0"/>
        <v>1.22903013721871</v>
      </c>
      <c r="J42" s="12">
        <v>12954.2</v>
      </c>
      <c r="K42" s="10">
        <v>13.9</v>
      </c>
      <c r="L42" s="7">
        <f t="shared" si="1"/>
        <v>5.90773941599361</v>
      </c>
    </row>
    <row r="43" ht="21" customHeight="1" spans="1:12">
      <c r="A43" s="9" t="s">
        <v>54</v>
      </c>
      <c r="B43" s="10">
        <v>84.1</v>
      </c>
      <c r="C43" s="10">
        <v>93.8</v>
      </c>
      <c r="D43" s="10">
        <v>77.8</v>
      </c>
      <c r="E43" s="11" t="s">
        <v>13</v>
      </c>
      <c r="F43" s="10">
        <v>7.5</v>
      </c>
      <c r="G43" s="12">
        <v>95.673</v>
      </c>
      <c r="H43" s="12">
        <v>94.254</v>
      </c>
      <c r="I43" s="7">
        <f t="shared" si="0"/>
        <v>1.50550639760647</v>
      </c>
      <c r="J43" s="12">
        <v>12955.7</v>
      </c>
      <c r="K43" s="10">
        <v>14.2</v>
      </c>
      <c r="L43" s="7">
        <f t="shared" si="1"/>
        <v>6.14293955800125</v>
      </c>
    </row>
    <row r="44" ht="21" customHeight="1" spans="1:12">
      <c r="A44" s="9" t="s">
        <v>55</v>
      </c>
      <c r="B44" s="10">
        <v>85.1</v>
      </c>
      <c r="C44" s="10">
        <v>98.6</v>
      </c>
      <c r="D44" s="10">
        <v>76.5</v>
      </c>
      <c r="E44" s="11" t="s">
        <v>13</v>
      </c>
      <c r="F44" s="10">
        <v>7.3</v>
      </c>
      <c r="G44" s="12">
        <v>95.792</v>
      </c>
      <c r="H44" s="12">
        <v>94.288</v>
      </c>
      <c r="I44" s="7">
        <f t="shared" si="0"/>
        <v>1.5951128457492</v>
      </c>
      <c r="J44" s="12">
        <v>12941.8</v>
      </c>
      <c r="K44" s="10">
        <v>13.8</v>
      </c>
      <c r="L44" s="7">
        <f t="shared" si="1"/>
        <v>6.27496227922251</v>
      </c>
    </row>
    <row r="45" ht="21" customHeight="1" spans="1:12">
      <c r="A45" s="9" t="s">
        <v>56</v>
      </c>
      <c r="B45" s="10">
        <v>82.1</v>
      </c>
      <c r="C45" s="10">
        <v>95.2</v>
      </c>
      <c r="D45" s="10">
        <v>73.7</v>
      </c>
      <c r="E45" s="11" t="s">
        <v>13</v>
      </c>
      <c r="F45" s="10">
        <v>7.2</v>
      </c>
      <c r="G45" s="12">
        <v>95.934</v>
      </c>
      <c r="H45" s="12">
        <v>94.605</v>
      </c>
      <c r="I45" s="7">
        <f t="shared" si="0"/>
        <v>1.4047883304265</v>
      </c>
      <c r="J45" s="12">
        <v>12969.6</v>
      </c>
      <c r="K45" s="10">
        <v>13.6</v>
      </c>
      <c r="L45" s="7">
        <f t="shared" si="1"/>
        <v>6.43250199698233</v>
      </c>
    </row>
    <row r="46" ht="21" customHeight="1" spans="1:12">
      <c r="A46" s="9" t="s">
        <v>57</v>
      </c>
      <c r="B46" s="10">
        <v>77.5</v>
      </c>
      <c r="C46" s="10">
        <v>92.6</v>
      </c>
      <c r="D46" s="10">
        <v>67.8</v>
      </c>
      <c r="E46" s="11" t="s">
        <v>13</v>
      </c>
      <c r="F46" s="10">
        <v>7.2</v>
      </c>
      <c r="G46" s="12">
        <v>95.976</v>
      </c>
      <c r="H46" s="12">
        <v>94.893</v>
      </c>
      <c r="I46" s="7">
        <f t="shared" si="0"/>
        <v>1.14128544782017</v>
      </c>
      <c r="J46" s="12">
        <v>13027.5</v>
      </c>
      <c r="K46" s="10">
        <v>13.5</v>
      </c>
      <c r="L46" s="7">
        <f t="shared" si="1"/>
        <v>6.47909825153103</v>
      </c>
    </row>
    <row r="47" ht="21" customHeight="1" spans="1:12">
      <c r="A47" s="9" t="s">
        <v>58</v>
      </c>
      <c r="B47" s="10">
        <v>73.2</v>
      </c>
      <c r="C47" s="10">
        <v>89.9</v>
      </c>
      <c r="D47" s="10">
        <v>62.5</v>
      </c>
      <c r="E47" s="11" t="s">
        <v>13</v>
      </c>
      <c r="F47" s="10">
        <v>7.2</v>
      </c>
      <c r="G47" s="12">
        <v>96.103</v>
      </c>
      <c r="H47" s="12">
        <v>95.174</v>
      </c>
      <c r="I47" s="7">
        <f t="shared" si="0"/>
        <v>0.976106919957109</v>
      </c>
      <c r="J47" s="12">
        <v>12974.6</v>
      </c>
      <c r="K47" s="10">
        <v>13.6</v>
      </c>
      <c r="L47" s="7">
        <f t="shared" si="1"/>
        <v>6.61999644980917</v>
      </c>
    </row>
    <row r="48" ht="21" customHeight="1" spans="1:12">
      <c r="A48" s="9" t="s">
        <v>59</v>
      </c>
      <c r="B48" s="10">
        <v>75.1</v>
      </c>
      <c r="C48" s="10">
        <v>88</v>
      </c>
      <c r="D48" s="10">
        <v>66.8</v>
      </c>
      <c r="E48" s="11" t="s">
        <v>13</v>
      </c>
      <c r="F48" s="10">
        <v>6.9</v>
      </c>
      <c r="G48" s="12">
        <v>96.246</v>
      </c>
      <c r="H48" s="12">
        <v>95.109</v>
      </c>
      <c r="I48" s="7">
        <f t="shared" si="0"/>
        <v>1.1954704602088</v>
      </c>
      <c r="J48" s="12">
        <v>12998.9</v>
      </c>
      <c r="K48" s="10">
        <v>13.1</v>
      </c>
      <c r="L48" s="7">
        <f t="shared" si="1"/>
        <v>6.77864560220112</v>
      </c>
    </row>
    <row r="49" ht="21" customHeight="1" spans="1:12">
      <c r="A49" s="9" t="s">
        <v>60</v>
      </c>
      <c r="B49" s="10">
        <v>82.5</v>
      </c>
      <c r="C49" s="10">
        <v>98.6</v>
      </c>
      <c r="D49" s="10">
        <v>72.1</v>
      </c>
      <c r="E49" s="11" t="s">
        <v>13</v>
      </c>
      <c r="F49" s="10">
        <v>6.7</v>
      </c>
      <c r="G49" s="12">
        <v>96.414</v>
      </c>
      <c r="H49" s="12">
        <v>95.094</v>
      </c>
      <c r="I49" s="7">
        <f t="shared" si="0"/>
        <v>1.38810019559594</v>
      </c>
      <c r="J49" s="12">
        <v>13019.1</v>
      </c>
      <c r="K49" s="10">
        <v>13.1</v>
      </c>
      <c r="L49" s="7">
        <f t="shared" si="1"/>
        <v>6.96503062039586</v>
      </c>
    </row>
    <row r="50" ht="21" customHeight="1" spans="1:12">
      <c r="A50" s="9" t="s">
        <v>61</v>
      </c>
      <c r="B50" s="10">
        <v>81.2</v>
      </c>
      <c r="C50" s="10">
        <v>96.8</v>
      </c>
      <c r="D50" s="10">
        <v>71.2</v>
      </c>
      <c r="E50" s="11" t="s">
        <v>13</v>
      </c>
      <c r="F50" s="10">
        <v>6.6</v>
      </c>
      <c r="G50" s="12">
        <v>96.614</v>
      </c>
      <c r="H50" s="12">
        <v>95.275</v>
      </c>
      <c r="I50" s="7">
        <f t="shared" si="0"/>
        <v>1.40540540540541</v>
      </c>
      <c r="J50" s="12">
        <v>13079.5</v>
      </c>
      <c r="K50" s="10">
        <v>12.6</v>
      </c>
      <c r="L50" s="7">
        <f t="shared" si="1"/>
        <v>7.18691754681815</v>
      </c>
    </row>
    <row r="51" ht="21" customHeight="1" spans="1:12">
      <c r="A51" s="9" t="s">
        <v>62</v>
      </c>
      <c r="B51" s="10">
        <v>81.6</v>
      </c>
      <c r="C51" s="10">
        <v>95.4</v>
      </c>
      <c r="D51" s="10">
        <v>72.7</v>
      </c>
      <c r="E51" s="11" t="s">
        <v>13</v>
      </c>
      <c r="F51" s="10">
        <v>6.7</v>
      </c>
      <c r="G51" s="12">
        <v>96.66</v>
      </c>
      <c r="H51" s="12">
        <v>95.614</v>
      </c>
      <c r="I51" s="7">
        <f t="shared" si="0"/>
        <v>1.09398205283744</v>
      </c>
      <c r="J51" s="12">
        <v>13148</v>
      </c>
      <c r="K51" s="10">
        <v>12.6</v>
      </c>
      <c r="L51" s="7">
        <f t="shared" si="1"/>
        <v>7.23795153989526</v>
      </c>
    </row>
    <row r="52" ht="21" customHeight="1" spans="1:12">
      <c r="A52" s="9" t="s">
        <v>63</v>
      </c>
      <c r="B52" s="10">
        <v>80</v>
      </c>
      <c r="C52" s="10">
        <v>95.7</v>
      </c>
      <c r="D52" s="10">
        <v>70</v>
      </c>
      <c r="E52" s="11" t="s">
        <v>13</v>
      </c>
      <c r="F52" s="10">
        <v>6.7</v>
      </c>
      <c r="G52" s="12">
        <v>96.815</v>
      </c>
      <c r="H52" s="12">
        <v>95.488</v>
      </c>
      <c r="I52" s="7">
        <f t="shared" si="0"/>
        <v>1.38970341823057</v>
      </c>
      <c r="J52" s="12">
        <v>13219.9</v>
      </c>
      <c r="K52" s="10">
        <v>12.7</v>
      </c>
      <c r="L52" s="7">
        <f t="shared" si="1"/>
        <v>7.40991390787256</v>
      </c>
    </row>
    <row r="53" ht="21" customHeight="1" spans="1:12">
      <c r="A53" s="9" t="s">
        <v>64</v>
      </c>
      <c r="B53" s="10">
        <v>84.1</v>
      </c>
      <c r="C53" s="10">
        <v>98.7</v>
      </c>
      <c r="D53" s="10">
        <v>74.7</v>
      </c>
      <c r="E53" s="11" t="s">
        <v>13</v>
      </c>
      <c r="F53" s="10">
        <v>6.2</v>
      </c>
      <c r="G53" s="12">
        <v>96.987</v>
      </c>
      <c r="H53" s="12">
        <v>95.391</v>
      </c>
      <c r="I53" s="7">
        <f t="shared" si="0"/>
        <v>1.67311381576878</v>
      </c>
      <c r="J53" s="12">
        <v>13270.2</v>
      </c>
      <c r="K53" s="10">
        <v>12.3</v>
      </c>
      <c r="L53" s="7">
        <f t="shared" si="1"/>
        <v>7.60073666459573</v>
      </c>
    </row>
    <row r="54" ht="21" customHeight="1" spans="1:12">
      <c r="A54" s="9" t="s">
        <v>65</v>
      </c>
      <c r="B54" s="10">
        <v>81.9</v>
      </c>
      <c r="C54" s="10">
        <v>94.5</v>
      </c>
      <c r="D54" s="10">
        <v>73.7</v>
      </c>
      <c r="E54" s="11" t="s">
        <v>13</v>
      </c>
      <c r="F54" s="10">
        <v>6.3</v>
      </c>
      <c r="G54" s="12">
        <v>97.147</v>
      </c>
      <c r="H54" s="12">
        <v>95.461</v>
      </c>
      <c r="I54" s="7">
        <f t="shared" si="0"/>
        <v>1.76616628780339</v>
      </c>
      <c r="J54" s="12">
        <v>13312.9</v>
      </c>
      <c r="K54" s="10">
        <v>12.3</v>
      </c>
      <c r="L54" s="7">
        <f t="shared" si="1"/>
        <v>7.77824620573357</v>
      </c>
    </row>
    <row r="55" ht="21" customHeight="1" spans="1:12">
      <c r="A55" s="9" t="s">
        <v>66</v>
      </c>
      <c r="B55" s="10">
        <v>82.5</v>
      </c>
      <c r="C55" s="10">
        <v>96.6</v>
      </c>
      <c r="D55" s="10">
        <v>73.5</v>
      </c>
      <c r="E55" s="11" t="s">
        <v>13</v>
      </c>
      <c r="F55" s="10">
        <v>6.1</v>
      </c>
      <c r="G55" s="12">
        <v>97.253</v>
      </c>
      <c r="H55" s="12">
        <v>95.673</v>
      </c>
      <c r="I55" s="7">
        <f t="shared" si="0"/>
        <v>1.65145861423808</v>
      </c>
      <c r="J55" s="12">
        <v>13360.4</v>
      </c>
      <c r="K55" s="10">
        <v>12</v>
      </c>
      <c r="L55" s="7">
        <f t="shared" si="1"/>
        <v>7.89584627673738</v>
      </c>
    </row>
    <row r="56" ht="21" customHeight="1" spans="1:12">
      <c r="A56" s="9" t="s">
        <v>67</v>
      </c>
      <c r="B56" s="10">
        <v>81.8</v>
      </c>
      <c r="C56" s="10">
        <v>97.4</v>
      </c>
      <c r="D56" s="10">
        <v>71.8</v>
      </c>
      <c r="E56" s="11" t="s">
        <v>13</v>
      </c>
      <c r="F56" s="10">
        <v>6.2</v>
      </c>
      <c r="G56" s="12">
        <v>97.391</v>
      </c>
      <c r="H56" s="12">
        <v>95.792</v>
      </c>
      <c r="I56" s="7">
        <f t="shared" si="0"/>
        <v>1.66924169032905</v>
      </c>
      <c r="J56" s="12">
        <v>13386.8</v>
      </c>
      <c r="K56" s="10">
        <v>12.1</v>
      </c>
      <c r="L56" s="7">
        <f t="shared" si="1"/>
        <v>8.04894825596878</v>
      </c>
    </row>
    <row r="57" ht="21" customHeight="1" spans="1:12">
      <c r="A57" s="9" t="s">
        <v>68</v>
      </c>
      <c r="B57" s="10">
        <v>82.5</v>
      </c>
      <c r="C57" s="10">
        <v>99.8</v>
      </c>
      <c r="D57" s="10">
        <v>71.3</v>
      </c>
      <c r="E57" s="11" t="s">
        <v>13</v>
      </c>
      <c r="F57" s="10">
        <v>6.1</v>
      </c>
      <c r="G57" s="12">
        <v>97.379</v>
      </c>
      <c r="H57" s="12">
        <v>95.934</v>
      </c>
      <c r="I57" s="7">
        <f t="shared" si="0"/>
        <v>1.50624387599809</v>
      </c>
      <c r="J57" s="12">
        <v>13445.9</v>
      </c>
      <c r="K57" s="10">
        <v>12</v>
      </c>
      <c r="L57" s="7">
        <f t="shared" si="1"/>
        <v>8.03563504038343</v>
      </c>
    </row>
    <row r="58" ht="21" customHeight="1" spans="1:12">
      <c r="A58" s="9" t="s">
        <v>69</v>
      </c>
      <c r="B58" s="10">
        <v>84.6</v>
      </c>
      <c r="C58" s="10">
        <v>98.9</v>
      </c>
      <c r="D58" s="10">
        <v>75.4</v>
      </c>
      <c r="E58" s="11" t="s">
        <v>13</v>
      </c>
      <c r="F58" s="10">
        <v>5.9</v>
      </c>
      <c r="G58" s="12">
        <v>97.413</v>
      </c>
      <c r="H58" s="12">
        <v>95.976</v>
      </c>
      <c r="I58" s="7">
        <f t="shared" si="0"/>
        <v>1.49724931232809</v>
      </c>
      <c r="J58" s="12">
        <v>13486.3</v>
      </c>
      <c r="K58" s="10">
        <v>11.7</v>
      </c>
      <c r="L58" s="7">
        <f t="shared" si="1"/>
        <v>8.07335581787521</v>
      </c>
    </row>
    <row r="59" ht="21" customHeight="1" spans="1:12">
      <c r="A59" s="9" t="s">
        <v>70</v>
      </c>
      <c r="B59" s="10">
        <v>86.9</v>
      </c>
      <c r="C59" s="10">
        <v>98.3</v>
      </c>
      <c r="D59" s="10">
        <v>79.6</v>
      </c>
      <c r="E59" s="11" t="s">
        <v>13</v>
      </c>
      <c r="F59" s="10">
        <v>5.7</v>
      </c>
      <c r="G59" s="12">
        <v>97.384</v>
      </c>
      <c r="H59" s="12">
        <v>96.103</v>
      </c>
      <c r="I59" s="7">
        <f t="shared" si="0"/>
        <v>1.33294486124262</v>
      </c>
      <c r="J59" s="12">
        <v>13550.7</v>
      </c>
      <c r="K59" s="10">
        <v>11.5</v>
      </c>
      <c r="L59" s="7">
        <f t="shared" si="1"/>
        <v>8.04118221354397</v>
      </c>
    </row>
    <row r="60" ht="21" customHeight="1" spans="1:12">
      <c r="A60" s="9" t="s">
        <v>71</v>
      </c>
      <c r="B60" s="10">
        <v>88.8</v>
      </c>
      <c r="C60" s="10">
        <v>102.7</v>
      </c>
      <c r="D60" s="10">
        <v>79.9</v>
      </c>
      <c r="E60" s="11" t="s">
        <v>13</v>
      </c>
      <c r="F60" s="10">
        <v>5.8</v>
      </c>
      <c r="G60" s="12">
        <v>97.291</v>
      </c>
      <c r="H60" s="12">
        <v>96.246</v>
      </c>
      <c r="I60" s="7">
        <f t="shared" si="0"/>
        <v>1.08575940818321</v>
      </c>
      <c r="J60" s="12">
        <v>13624.4</v>
      </c>
      <c r="K60" s="10">
        <v>11.4</v>
      </c>
      <c r="L60" s="7">
        <f t="shared" si="1"/>
        <v>7.93800479275761</v>
      </c>
    </row>
    <row r="61" ht="21" customHeight="1" spans="1:12">
      <c r="A61" s="9" t="s">
        <v>72</v>
      </c>
      <c r="B61" s="10">
        <v>93.6</v>
      </c>
      <c r="C61" s="10">
        <v>104.8</v>
      </c>
      <c r="D61" s="10">
        <v>86.4</v>
      </c>
      <c r="E61" s="11" t="s">
        <v>13</v>
      </c>
      <c r="F61" s="10">
        <v>5.6</v>
      </c>
      <c r="G61" s="12">
        <v>97.12</v>
      </c>
      <c r="H61" s="12">
        <v>96.414</v>
      </c>
      <c r="I61" s="7">
        <f t="shared" si="0"/>
        <v>0.732258800589136</v>
      </c>
      <c r="J61" s="12">
        <v>13719.1</v>
      </c>
      <c r="K61" s="10">
        <v>11.2</v>
      </c>
      <c r="L61" s="7">
        <f t="shared" si="1"/>
        <v>7.74829147066656</v>
      </c>
    </row>
    <row r="62" ht="21" customHeight="1" spans="1:12">
      <c r="A62" s="9" t="s">
        <v>73</v>
      </c>
      <c r="B62" s="10">
        <v>98.1</v>
      </c>
      <c r="C62" s="10">
        <v>109.3</v>
      </c>
      <c r="D62" s="10">
        <v>91</v>
      </c>
      <c r="E62" s="11" t="s">
        <v>13</v>
      </c>
      <c r="F62" s="10">
        <v>5.7</v>
      </c>
      <c r="G62" s="12">
        <v>96.654</v>
      </c>
      <c r="H62" s="12">
        <v>96.614</v>
      </c>
      <c r="I62" s="7">
        <f t="shared" si="0"/>
        <v>0.0414018672242111</v>
      </c>
      <c r="J62" s="12">
        <v>13797.7</v>
      </c>
      <c r="K62" s="10">
        <v>11.2</v>
      </c>
      <c r="L62" s="7">
        <f t="shared" si="1"/>
        <v>7.23129493210259</v>
      </c>
    </row>
    <row r="63" ht="21" customHeight="1" spans="1:12">
      <c r="A63" s="9" t="s">
        <v>74</v>
      </c>
      <c r="B63" s="10">
        <v>95.4</v>
      </c>
      <c r="C63" s="10">
        <v>106.9</v>
      </c>
      <c r="D63" s="10">
        <v>88</v>
      </c>
      <c r="E63" s="11" t="s">
        <v>13</v>
      </c>
      <c r="F63" s="10">
        <v>5.5</v>
      </c>
      <c r="G63" s="12">
        <v>96.825</v>
      </c>
      <c r="H63" s="12">
        <v>96.66</v>
      </c>
      <c r="I63" s="7">
        <f t="shared" si="0"/>
        <v>0.170701427684672</v>
      </c>
      <c r="J63" s="12">
        <v>13848</v>
      </c>
      <c r="K63" s="10">
        <v>10.9</v>
      </c>
      <c r="L63" s="7">
        <f t="shared" si="1"/>
        <v>7.42100825419367</v>
      </c>
    </row>
    <row r="64" ht="21" customHeight="1" spans="1:12">
      <c r="A64" s="9" t="s">
        <v>75</v>
      </c>
      <c r="B64" s="10">
        <v>93</v>
      </c>
      <c r="C64" s="10">
        <v>105</v>
      </c>
      <c r="D64" s="10">
        <v>85.3</v>
      </c>
      <c r="E64" s="11" t="s">
        <v>13</v>
      </c>
      <c r="F64" s="10">
        <v>5.4</v>
      </c>
      <c r="G64" s="12">
        <v>97.008</v>
      </c>
      <c r="H64" s="12">
        <v>96.815</v>
      </c>
      <c r="I64" s="7">
        <f t="shared" si="0"/>
        <v>0.199349274389293</v>
      </c>
      <c r="J64" s="12">
        <v>13811.3</v>
      </c>
      <c r="K64" s="10">
        <v>10.9</v>
      </c>
      <c r="L64" s="7">
        <f t="shared" si="1"/>
        <v>7.62403479187006</v>
      </c>
    </row>
    <row r="65" ht="21" customHeight="1" spans="1:12">
      <c r="A65" s="9" t="s">
        <v>76</v>
      </c>
      <c r="B65" s="10">
        <v>95.9</v>
      </c>
      <c r="C65" s="10">
        <v>107</v>
      </c>
      <c r="D65" s="10">
        <v>88.8</v>
      </c>
      <c r="E65" s="11" t="s">
        <v>13</v>
      </c>
      <c r="F65" s="10">
        <v>5.4</v>
      </c>
      <c r="G65" s="12">
        <v>97.094</v>
      </c>
      <c r="H65" s="12">
        <v>96.987</v>
      </c>
      <c r="I65" s="7">
        <f t="shared" si="0"/>
        <v>0.110324064049827</v>
      </c>
      <c r="J65" s="12">
        <v>13842</v>
      </c>
      <c r="K65" s="10">
        <v>10.9</v>
      </c>
      <c r="L65" s="7">
        <f t="shared" si="1"/>
        <v>7.71944617023166</v>
      </c>
    </row>
    <row r="66" ht="21" customHeight="1" spans="1:12">
      <c r="A66" s="9" t="s">
        <v>77</v>
      </c>
      <c r="B66" s="10">
        <v>90.7</v>
      </c>
      <c r="C66" s="10">
        <v>100.8</v>
      </c>
      <c r="D66" s="10">
        <v>84.2</v>
      </c>
      <c r="E66" s="11" t="s">
        <v>13</v>
      </c>
      <c r="F66" s="10">
        <v>5.6</v>
      </c>
      <c r="G66" s="12">
        <v>97.327</v>
      </c>
      <c r="H66" s="12">
        <v>97.147</v>
      </c>
      <c r="I66" s="7">
        <f t="shared" ref="I66:I129" si="2">IF(OR(G66="",H66=""),"",100*(G66/H66-1))</f>
        <v>0.185286215734903</v>
      </c>
      <c r="J66" s="12">
        <v>13865.6</v>
      </c>
      <c r="K66" s="10">
        <v>10.9</v>
      </c>
      <c r="L66" s="7">
        <f t="shared" ref="L66:L129" si="3">IF(G66="","",100*(G66/$G$2-1))</f>
        <v>7.97794443951363</v>
      </c>
    </row>
    <row r="67" ht="21" customHeight="1" spans="1:12">
      <c r="A67" s="9" t="s">
        <v>78</v>
      </c>
      <c r="B67" s="10">
        <v>96.1</v>
      </c>
      <c r="C67" s="10">
        <v>108.9</v>
      </c>
      <c r="D67" s="10">
        <v>87.8</v>
      </c>
      <c r="E67" s="11" t="s">
        <v>13</v>
      </c>
      <c r="F67" s="10">
        <v>5.3</v>
      </c>
      <c r="G67" s="12">
        <v>97.516</v>
      </c>
      <c r="H67" s="12">
        <v>97.253</v>
      </c>
      <c r="I67" s="7">
        <f t="shared" si="2"/>
        <v>0.27042867572209</v>
      </c>
      <c r="J67" s="12">
        <v>13874.1</v>
      </c>
      <c r="K67" s="10">
        <v>10.4</v>
      </c>
      <c r="L67" s="7">
        <f t="shared" si="3"/>
        <v>8.1876275849827</v>
      </c>
    </row>
    <row r="68" ht="21" customHeight="1" spans="1:12">
      <c r="A68" s="9" t="s">
        <v>79</v>
      </c>
      <c r="B68" s="10">
        <v>93.1</v>
      </c>
      <c r="C68" s="10">
        <v>107.2</v>
      </c>
      <c r="D68" s="10">
        <v>84.1</v>
      </c>
      <c r="E68" s="11" t="s">
        <v>13</v>
      </c>
      <c r="F68" s="10">
        <v>5.2</v>
      </c>
      <c r="G68" s="12">
        <v>97.605</v>
      </c>
      <c r="H68" s="12">
        <v>97.391</v>
      </c>
      <c r="I68" s="7">
        <f t="shared" si="2"/>
        <v>0.219732829522234</v>
      </c>
      <c r="J68" s="12">
        <v>13905.7</v>
      </c>
      <c r="K68" s="10">
        <v>10.3</v>
      </c>
      <c r="L68" s="7">
        <f t="shared" si="3"/>
        <v>8.28636726724061</v>
      </c>
    </row>
    <row r="69" ht="21" customHeight="1" spans="1:12">
      <c r="A69" s="9" t="s">
        <v>80</v>
      </c>
      <c r="B69" s="10">
        <v>91.9</v>
      </c>
      <c r="C69" s="10">
        <v>105.1</v>
      </c>
      <c r="D69" s="10">
        <v>83.4</v>
      </c>
      <c r="E69" s="11" t="s">
        <v>13</v>
      </c>
      <c r="F69" s="10">
        <v>5.1</v>
      </c>
      <c r="G69" s="12">
        <v>97.612</v>
      </c>
      <c r="H69" s="12">
        <v>97.379</v>
      </c>
      <c r="I69" s="7">
        <f t="shared" si="2"/>
        <v>0.239271300793797</v>
      </c>
      <c r="J69" s="12">
        <v>13935.8</v>
      </c>
      <c r="K69" s="10">
        <v>10.2</v>
      </c>
      <c r="L69" s="7">
        <f t="shared" si="3"/>
        <v>8.2941333096654</v>
      </c>
    </row>
    <row r="70" ht="21" customHeight="1" spans="1:12">
      <c r="A70" s="9" t="s">
        <v>81</v>
      </c>
      <c r="B70" s="10">
        <v>87.2</v>
      </c>
      <c r="C70" s="10">
        <v>101.2</v>
      </c>
      <c r="D70" s="10">
        <v>78.2</v>
      </c>
      <c r="E70" s="11" t="s">
        <v>13</v>
      </c>
      <c r="F70" s="10">
        <v>5</v>
      </c>
      <c r="G70" s="12">
        <v>97.477</v>
      </c>
      <c r="H70" s="12">
        <v>97.413</v>
      </c>
      <c r="I70" s="7">
        <f t="shared" si="2"/>
        <v>0.065699649944051</v>
      </c>
      <c r="J70" s="12">
        <v>13972.2</v>
      </c>
      <c r="K70" s="10">
        <v>10</v>
      </c>
      <c r="L70" s="7">
        <f t="shared" si="3"/>
        <v>8.14435963433036</v>
      </c>
    </row>
    <row r="71" ht="21" customHeight="1" spans="1:12">
      <c r="A71" s="9" t="s">
        <v>82</v>
      </c>
      <c r="B71" s="10">
        <v>90</v>
      </c>
      <c r="C71" s="10">
        <v>102.3</v>
      </c>
      <c r="D71" s="10">
        <v>82.1</v>
      </c>
      <c r="E71" s="11" t="s">
        <v>13</v>
      </c>
      <c r="F71" s="10">
        <v>5</v>
      </c>
      <c r="G71" s="12">
        <v>97.477</v>
      </c>
      <c r="H71" s="12">
        <v>97.384</v>
      </c>
      <c r="I71" s="7">
        <f t="shared" si="2"/>
        <v>0.0954982337961097</v>
      </c>
      <c r="J71" s="12">
        <v>13996.9</v>
      </c>
      <c r="K71" s="10">
        <v>9.8</v>
      </c>
      <c r="L71" s="7">
        <f t="shared" si="3"/>
        <v>8.14435963433036</v>
      </c>
    </row>
    <row r="72" ht="21" customHeight="1" spans="1:12">
      <c r="A72" s="9" t="s">
        <v>83</v>
      </c>
      <c r="B72" s="10">
        <v>91.3</v>
      </c>
      <c r="C72" s="10">
        <v>104.3</v>
      </c>
      <c r="D72" s="10">
        <v>82.9</v>
      </c>
      <c r="E72" s="11" t="s">
        <v>13</v>
      </c>
      <c r="F72" s="10">
        <v>5.1</v>
      </c>
      <c r="G72" s="12">
        <v>97.538</v>
      </c>
      <c r="H72" s="12">
        <v>97.291</v>
      </c>
      <c r="I72" s="7">
        <f t="shared" si="2"/>
        <v>0.253877542629843</v>
      </c>
      <c r="J72" s="12">
        <v>13993.4</v>
      </c>
      <c r="K72" s="10">
        <v>10</v>
      </c>
      <c r="L72" s="7">
        <f t="shared" si="3"/>
        <v>8.21203514688915</v>
      </c>
    </row>
    <row r="73" ht="21" customHeight="1" spans="1:12">
      <c r="A73" s="9" t="s">
        <v>84</v>
      </c>
      <c r="B73" s="10">
        <v>92.6</v>
      </c>
      <c r="C73" s="10">
        <v>108.1</v>
      </c>
      <c r="D73" s="10">
        <v>82.7</v>
      </c>
      <c r="E73" s="11" t="s">
        <v>13</v>
      </c>
      <c r="F73" s="10">
        <v>5</v>
      </c>
      <c r="G73" s="12">
        <v>97.456</v>
      </c>
      <c r="H73" s="12">
        <v>97.12</v>
      </c>
      <c r="I73" s="7">
        <f t="shared" si="2"/>
        <v>0.345963756177925</v>
      </c>
      <c r="J73" s="12">
        <v>14060.2</v>
      </c>
      <c r="K73" s="10">
        <v>9.9</v>
      </c>
      <c r="L73" s="7">
        <f t="shared" si="3"/>
        <v>8.12106150705601</v>
      </c>
    </row>
    <row r="74" ht="21" customHeight="1" spans="1:12">
      <c r="A74" s="9" t="s">
        <v>85</v>
      </c>
      <c r="B74" s="10">
        <v>92</v>
      </c>
      <c r="C74" s="10">
        <v>106.4</v>
      </c>
      <c r="D74" s="10">
        <v>82.7</v>
      </c>
      <c r="E74" s="11" t="s">
        <v>13</v>
      </c>
      <c r="F74" s="10">
        <v>4.8</v>
      </c>
      <c r="G74" s="12">
        <v>97.496</v>
      </c>
      <c r="H74" s="12">
        <v>96.654</v>
      </c>
      <c r="I74" s="7">
        <f t="shared" si="2"/>
        <v>0.871148633269181</v>
      </c>
      <c r="J74" s="12">
        <v>14121.1</v>
      </c>
      <c r="K74" s="10">
        <v>9.7</v>
      </c>
      <c r="L74" s="7">
        <f t="shared" si="3"/>
        <v>8.16543889234047</v>
      </c>
    </row>
    <row r="75" ht="21" customHeight="1" spans="1:12">
      <c r="A75" s="9" t="s">
        <v>86</v>
      </c>
      <c r="B75" s="10">
        <v>91.7</v>
      </c>
      <c r="C75" s="10">
        <v>106.8</v>
      </c>
      <c r="D75" s="10">
        <v>81.9</v>
      </c>
      <c r="E75" s="11" t="s">
        <v>13</v>
      </c>
      <c r="F75" s="10">
        <v>4.9</v>
      </c>
      <c r="G75" s="12">
        <v>97.445</v>
      </c>
      <c r="H75" s="12">
        <v>96.825</v>
      </c>
      <c r="I75" s="7">
        <f t="shared" si="2"/>
        <v>0.640330493157748</v>
      </c>
      <c r="J75" s="12">
        <v>14135.3</v>
      </c>
      <c r="K75" s="10">
        <v>9.6</v>
      </c>
      <c r="L75" s="7">
        <f t="shared" si="3"/>
        <v>8.10885772610277</v>
      </c>
    </row>
    <row r="76" ht="21" customHeight="1" spans="1:12">
      <c r="A76" s="9" t="s">
        <v>87</v>
      </c>
      <c r="B76" s="10">
        <v>91</v>
      </c>
      <c r="C76" s="10">
        <v>105.6</v>
      </c>
      <c r="D76" s="10">
        <v>81.5</v>
      </c>
      <c r="E76" s="11" t="s">
        <v>13</v>
      </c>
      <c r="F76" s="10">
        <v>5</v>
      </c>
      <c r="G76" s="12">
        <v>97.673</v>
      </c>
      <c r="H76" s="12">
        <v>97.008</v>
      </c>
      <c r="I76" s="7">
        <f t="shared" si="2"/>
        <v>0.685510473363027</v>
      </c>
      <c r="J76" s="12">
        <v>14135.4</v>
      </c>
      <c r="K76" s="10">
        <v>9.8</v>
      </c>
      <c r="L76" s="7">
        <f t="shared" si="3"/>
        <v>8.36180882222419</v>
      </c>
    </row>
    <row r="77" ht="21" customHeight="1" spans="1:12">
      <c r="A77" s="9" t="s">
        <v>88</v>
      </c>
      <c r="B77" s="10">
        <v>89</v>
      </c>
      <c r="C77" s="10">
        <v>106.7</v>
      </c>
      <c r="D77" s="10">
        <v>77.6</v>
      </c>
      <c r="E77" s="11" t="s">
        <v>13</v>
      </c>
      <c r="F77" s="10">
        <v>5.1</v>
      </c>
      <c r="G77" s="12">
        <v>97.993</v>
      </c>
      <c r="H77" s="12">
        <v>97.094</v>
      </c>
      <c r="I77" s="7">
        <f t="shared" si="2"/>
        <v>0.925906853152614</v>
      </c>
      <c r="J77" s="12">
        <v>14106.2</v>
      </c>
      <c r="K77" s="10">
        <v>9.9</v>
      </c>
      <c r="L77" s="7">
        <f t="shared" si="3"/>
        <v>8.71682790449986</v>
      </c>
    </row>
    <row r="78" ht="21" customHeight="1" spans="1:12">
      <c r="A78" s="9" t="s">
        <v>89</v>
      </c>
      <c r="B78" s="10">
        <v>94.7</v>
      </c>
      <c r="C78" s="10">
        <v>109.9</v>
      </c>
      <c r="D78" s="10">
        <v>84.9</v>
      </c>
      <c r="E78" s="11" t="s">
        <v>13</v>
      </c>
      <c r="F78" s="10">
        <v>4.8</v>
      </c>
      <c r="G78" s="12">
        <v>98.153</v>
      </c>
      <c r="H78" s="12">
        <v>97.327</v>
      </c>
      <c r="I78" s="7">
        <f t="shared" si="2"/>
        <v>0.848685359663826</v>
      </c>
      <c r="J78" s="12">
        <v>14095.5</v>
      </c>
      <c r="K78" s="10">
        <v>9.9</v>
      </c>
      <c r="L78" s="7">
        <f t="shared" si="3"/>
        <v>8.89433744563772</v>
      </c>
    </row>
    <row r="79" ht="21" customHeight="1" spans="1:12">
      <c r="A79" s="9" t="s">
        <v>90</v>
      </c>
      <c r="B79" s="10">
        <v>93.5</v>
      </c>
      <c r="C79" s="10">
        <v>110.8</v>
      </c>
      <c r="D79" s="10">
        <v>82.4</v>
      </c>
      <c r="E79" s="11" t="s">
        <v>13</v>
      </c>
      <c r="F79" s="10">
        <v>4.9</v>
      </c>
      <c r="G79" s="12">
        <v>98.325</v>
      </c>
      <c r="H79" s="12">
        <v>97.516</v>
      </c>
      <c r="I79" s="7">
        <f t="shared" si="2"/>
        <v>0.829607449033998</v>
      </c>
      <c r="J79" s="12">
        <v>14104.9</v>
      </c>
      <c r="K79" s="10">
        <v>9.5</v>
      </c>
      <c r="L79" s="7">
        <f t="shared" si="3"/>
        <v>9.08516020236087</v>
      </c>
    </row>
    <row r="80" ht="21" customHeight="1" spans="1:12">
      <c r="A80" s="9" t="s">
        <v>91</v>
      </c>
      <c r="B80" s="10">
        <v>90</v>
      </c>
      <c r="C80" s="10">
        <v>109</v>
      </c>
      <c r="D80" s="10">
        <v>77.8</v>
      </c>
      <c r="E80" s="11" t="s">
        <v>13</v>
      </c>
      <c r="F80" s="10">
        <v>4.8</v>
      </c>
      <c r="G80" s="12">
        <v>98.342</v>
      </c>
      <c r="H80" s="12">
        <v>97.605</v>
      </c>
      <c r="I80" s="7">
        <f t="shared" si="2"/>
        <v>0.755084268223949</v>
      </c>
      <c r="J80" s="12">
        <v>14160.1</v>
      </c>
      <c r="K80" s="10">
        <v>9.6</v>
      </c>
      <c r="L80" s="7">
        <f t="shared" si="3"/>
        <v>9.10402059110678</v>
      </c>
    </row>
    <row r="81" ht="21" customHeight="1" spans="1:12">
      <c r="A81" s="9" t="s">
        <v>92</v>
      </c>
      <c r="B81" s="10">
        <v>89.8</v>
      </c>
      <c r="C81" s="10">
        <v>107</v>
      </c>
      <c r="D81" s="10">
        <v>78.7</v>
      </c>
      <c r="E81" s="11" t="s">
        <v>13</v>
      </c>
      <c r="F81" s="10">
        <v>4.9</v>
      </c>
      <c r="G81" s="12">
        <v>98.479</v>
      </c>
      <c r="H81" s="12">
        <v>97.612</v>
      </c>
      <c r="I81" s="7">
        <f t="shared" si="2"/>
        <v>0.888210465926331</v>
      </c>
      <c r="J81" s="12">
        <v>14176.7</v>
      </c>
      <c r="K81" s="10">
        <v>9.6</v>
      </c>
      <c r="L81" s="7">
        <f t="shared" si="3"/>
        <v>9.25601313570605</v>
      </c>
    </row>
    <row r="82" ht="21" customHeight="1" spans="1:12">
      <c r="A82" s="9" t="s">
        <v>93</v>
      </c>
      <c r="B82" s="10">
        <v>91.2</v>
      </c>
      <c r="C82" s="10">
        <v>104.2</v>
      </c>
      <c r="D82" s="10">
        <v>82.7</v>
      </c>
      <c r="E82" s="11" t="s">
        <v>13</v>
      </c>
      <c r="F82" s="10">
        <v>5</v>
      </c>
      <c r="G82" s="12">
        <v>98.666</v>
      </c>
      <c r="H82" s="12">
        <v>97.477</v>
      </c>
      <c r="I82" s="7">
        <f t="shared" si="2"/>
        <v>1.21977492126346</v>
      </c>
      <c r="J82" s="12">
        <v>14209.1</v>
      </c>
      <c r="K82" s="10">
        <v>9.7</v>
      </c>
      <c r="L82" s="7">
        <f t="shared" si="3"/>
        <v>9.46347741191089</v>
      </c>
    </row>
    <row r="83" ht="21" customHeight="1" spans="1:12">
      <c r="A83" s="9" t="s">
        <v>94</v>
      </c>
      <c r="B83" s="10">
        <v>87.2</v>
      </c>
      <c r="C83" s="10">
        <v>103.2</v>
      </c>
      <c r="D83" s="10">
        <v>76.8</v>
      </c>
      <c r="E83" s="11" t="s">
        <v>13</v>
      </c>
      <c r="F83" s="10">
        <v>4.9</v>
      </c>
      <c r="G83" s="12">
        <v>98.868</v>
      </c>
      <c r="H83" s="12">
        <v>97.477</v>
      </c>
      <c r="I83" s="7">
        <f t="shared" si="2"/>
        <v>1.42700329308452</v>
      </c>
      <c r="J83" s="12">
        <v>14235.4</v>
      </c>
      <c r="K83" s="10">
        <v>9.6</v>
      </c>
      <c r="L83" s="7">
        <f t="shared" si="3"/>
        <v>9.68758320759742</v>
      </c>
    </row>
    <row r="84" ht="21" customHeight="1" spans="1:12">
      <c r="A84" s="9" t="s">
        <v>95</v>
      </c>
      <c r="B84" s="10">
        <v>93.8</v>
      </c>
      <c r="C84" s="10">
        <v>107.3</v>
      </c>
      <c r="D84" s="10">
        <v>85.2</v>
      </c>
      <c r="E84" s="11" t="s">
        <v>13</v>
      </c>
      <c r="F84" s="10">
        <v>4.7</v>
      </c>
      <c r="G84" s="12">
        <v>98.901</v>
      </c>
      <c r="H84" s="12">
        <v>97.538</v>
      </c>
      <c r="I84" s="7">
        <f t="shared" si="2"/>
        <v>1.39740408866289</v>
      </c>
      <c r="J84" s="12">
        <v>14273.6</v>
      </c>
      <c r="K84" s="10">
        <v>9.4</v>
      </c>
      <c r="L84" s="7">
        <f t="shared" si="3"/>
        <v>9.7241945504571</v>
      </c>
    </row>
    <row r="85" ht="21" customHeight="1" spans="1:12">
      <c r="A85" s="9" t="s">
        <v>96</v>
      </c>
      <c r="B85" s="10">
        <v>98.2</v>
      </c>
      <c r="C85" s="10">
        <v>111.9</v>
      </c>
      <c r="D85" s="10">
        <v>89.5</v>
      </c>
      <c r="E85" s="11" t="s">
        <v>13</v>
      </c>
      <c r="F85" s="10">
        <v>4.7</v>
      </c>
      <c r="G85" s="12">
        <v>99.071</v>
      </c>
      <c r="H85" s="12">
        <v>97.456</v>
      </c>
      <c r="I85" s="7">
        <f t="shared" si="2"/>
        <v>1.65715810211788</v>
      </c>
      <c r="J85" s="12">
        <v>14313.7</v>
      </c>
      <c r="K85" s="10">
        <v>9.2</v>
      </c>
      <c r="L85" s="7">
        <f t="shared" si="3"/>
        <v>9.91279843791604</v>
      </c>
    </row>
    <row r="86" ht="21" customHeight="1" spans="1:12">
      <c r="A86" s="9" t="s">
        <v>97</v>
      </c>
      <c r="B86" s="10">
        <v>98.5</v>
      </c>
      <c r="C86" s="10">
        <v>111.3</v>
      </c>
      <c r="D86" s="10">
        <v>90.3</v>
      </c>
      <c r="E86" s="11" t="s">
        <v>13</v>
      </c>
      <c r="F86" s="10">
        <v>4.7</v>
      </c>
      <c r="G86" s="12">
        <v>99.451</v>
      </c>
      <c r="H86" s="12">
        <v>97.496</v>
      </c>
      <c r="I86" s="7">
        <f t="shared" si="2"/>
        <v>2.00521047017312</v>
      </c>
      <c r="J86" s="12">
        <v>14373.7</v>
      </c>
      <c r="K86" s="10">
        <v>9.2</v>
      </c>
      <c r="L86" s="7">
        <f t="shared" si="3"/>
        <v>10.3343835981184</v>
      </c>
    </row>
    <row r="87" ht="21" customHeight="1" spans="1:12">
      <c r="A87" s="9" t="s">
        <v>98</v>
      </c>
      <c r="B87" s="10">
        <v>96.3</v>
      </c>
      <c r="C87" s="10">
        <v>111.5</v>
      </c>
      <c r="D87" s="10">
        <v>86.5</v>
      </c>
      <c r="E87" s="11" t="s">
        <v>13</v>
      </c>
      <c r="F87" s="10">
        <v>4.6</v>
      </c>
      <c r="G87" s="12">
        <v>99.586</v>
      </c>
      <c r="H87" s="12">
        <v>97.445</v>
      </c>
      <c r="I87" s="7">
        <f t="shared" si="2"/>
        <v>2.1971368464262</v>
      </c>
      <c r="J87" s="12">
        <v>14416.8</v>
      </c>
      <c r="K87" s="10">
        <v>9</v>
      </c>
      <c r="L87" s="7">
        <f t="shared" si="3"/>
        <v>10.4841572734534</v>
      </c>
    </row>
    <row r="88" ht="21" customHeight="1" spans="1:12">
      <c r="A88" s="9" t="s">
        <v>99</v>
      </c>
      <c r="B88" s="10">
        <v>96.9</v>
      </c>
      <c r="C88" s="10">
        <v>113.2</v>
      </c>
      <c r="D88" s="10">
        <v>86.5</v>
      </c>
      <c r="E88" s="11" t="s">
        <v>13</v>
      </c>
      <c r="F88" s="10">
        <v>4.4</v>
      </c>
      <c r="G88" s="12">
        <v>99.535</v>
      </c>
      <c r="H88" s="12">
        <v>97.673</v>
      </c>
      <c r="I88" s="7">
        <f t="shared" si="2"/>
        <v>1.90636102095767</v>
      </c>
      <c r="J88" s="12">
        <v>14476.3</v>
      </c>
      <c r="K88" s="10">
        <v>8.8</v>
      </c>
      <c r="L88" s="7">
        <f t="shared" si="3"/>
        <v>10.4275761072158</v>
      </c>
    </row>
    <row r="89" ht="21" customHeight="1" spans="1:12">
      <c r="A89" s="9" t="s">
        <v>100</v>
      </c>
      <c r="B89" s="10">
        <v>97</v>
      </c>
      <c r="C89" s="10">
        <v>112.7</v>
      </c>
      <c r="D89" s="10">
        <v>87</v>
      </c>
      <c r="E89" s="11" t="s">
        <v>13</v>
      </c>
      <c r="F89" s="10">
        <v>4.4</v>
      </c>
      <c r="G89" s="12">
        <v>99.725</v>
      </c>
      <c r="H89" s="12">
        <v>97.993</v>
      </c>
      <c r="I89" s="7">
        <f t="shared" si="2"/>
        <v>1.76747318686028</v>
      </c>
      <c r="J89" s="12">
        <v>14509.3</v>
      </c>
      <c r="K89" s="10">
        <v>8.6</v>
      </c>
      <c r="L89" s="7">
        <f t="shared" si="3"/>
        <v>10.6383686873169</v>
      </c>
    </row>
    <row r="90" ht="21" customHeight="1" spans="1:12">
      <c r="A90" s="9" t="s">
        <v>101</v>
      </c>
      <c r="B90" s="10">
        <v>97.1</v>
      </c>
      <c r="C90" s="10">
        <v>111.7</v>
      </c>
      <c r="D90" s="10">
        <v>87.7</v>
      </c>
      <c r="E90" s="11" t="s">
        <v>13</v>
      </c>
      <c r="F90" s="10">
        <v>4.4</v>
      </c>
      <c r="G90" s="12">
        <v>99.682</v>
      </c>
      <c r="H90" s="12">
        <v>98.153</v>
      </c>
      <c r="I90" s="7">
        <f t="shared" si="2"/>
        <v>1.55777204975904</v>
      </c>
      <c r="J90" s="12">
        <v>14610.7</v>
      </c>
      <c r="K90" s="10">
        <v>8.5</v>
      </c>
      <c r="L90" s="7">
        <f t="shared" si="3"/>
        <v>10.5906629981362</v>
      </c>
    </row>
    <row r="91" ht="21" customHeight="1" spans="1:12">
      <c r="A91" s="9" t="s">
        <v>102</v>
      </c>
      <c r="B91" s="10">
        <v>95</v>
      </c>
      <c r="C91" s="10">
        <v>112.4</v>
      </c>
      <c r="D91" s="10">
        <v>83.8</v>
      </c>
      <c r="E91" s="11" t="s">
        <v>13</v>
      </c>
      <c r="F91" s="10">
        <v>4.3</v>
      </c>
      <c r="G91" s="12">
        <v>99.766</v>
      </c>
      <c r="H91" s="12">
        <v>98.325</v>
      </c>
      <c r="I91" s="7">
        <f t="shared" si="2"/>
        <v>1.4655479277905</v>
      </c>
      <c r="J91" s="12">
        <v>14618.7</v>
      </c>
      <c r="K91" s="10">
        <v>8.5</v>
      </c>
      <c r="L91" s="7">
        <f t="shared" si="3"/>
        <v>10.6838555072335</v>
      </c>
    </row>
    <row r="92" ht="21" customHeight="1" spans="1:12">
      <c r="A92" s="9" t="s">
        <v>103</v>
      </c>
      <c r="B92" s="10">
        <v>93.4</v>
      </c>
      <c r="C92" s="10">
        <v>113.4</v>
      </c>
      <c r="D92" s="10">
        <v>80.5</v>
      </c>
      <c r="E92" s="11" t="s">
        <v>13</v>
      </c>
      <c r="F92" s="10">
        <v>4.3</v>
      </c>
      <c r="G92" s="12">
        <v>99.803</v>
      </c>
      <c r="H92" s="12">
        <v>98.342</v>
      </c>
      <c r="I92" s="7">
        <f t="shared" si="2"/>
        <v>1.48563177482663</v>
      </c>
      <c r="J92" s="12">
        <v>14660.2</v>
      </c>
      <c r="K92" s="10">
        <v>8.5</v>
      </c>
      <c r="L92" s="7">
        <f t="shared" si="3"/>
        <v>10.7249045886216</v>
      </c>
    </row>
    <row r="93" ht="21" customHeight="1" spans="1:12">
      <c r="A93" s="9" t="s">
        <v>104</v>
      </c>
      <c r="B93" s="10">
        <v>96.8</v>
      </c>
      <c r="C93" s="10">
        <v>110.9</v>
      </c>
      <c r="D93" s="10">
        <v>87.7</v>
      </c>
      <c r="E93" s="11" t="s">
        <v>13</v>
      </c>
      <c r="F93" s="10">
        <v>4.4</v>
      </c>
      <c r="G93" s="12">
        <v>100.027</v>
      </c>
      <c r="H93" s="12">
        <v>98.479</v>
      </c>
      <c r="I93" s="7">
        <f t="shared" si="2"/>
        <v>1.57190873181083</v>
      </c>
      <c r="J93" s="12">
        <v>14678.3</v>
      </c>
      <c r="K93" s="10">
        <v>8.6</v>
      </c>
      <c r="L93" s="7">
        <f t="shared" si="3"/>
        <v>10.9734179462146</v>
      </c>
    </row>
    <row r="94" ht="21" customHeight="1" spans="1:12">
      <c r="A94" s="9" t="s">
        <v>105</v>
      </c>
      <c r="B94" s="10">
        <v>95.1</v>
      </c>
      <c r="C94" s="10">
        <v>111.7</v>
      </c>
      <c r="D94" s="10">
        <v>84.4</v>
      </c>
      <c r="E94" s="11" t="s">
        <v>13</v>
      </c>
      <c r="F94" s="10">
        <v>4.3</v>
      </c>
      <c r="G94" s="12">
        <v>100.4</v>
      </c>
      <c r="H94" s="12">
        <v>98.666</v>
      </c>
      <c r="I94" s="7">
        <f t="shared" si="2"/>
        <v>1.75744430705613</v>
      </c>
      <c r="J94" s="12">
        <v>14706</v>
      </c>
      <c r="K94" s="10">
        <v>8.3</v>
      </c>
      <c r="L94" s="7">
        <f t="shared" si="3"/>
        <v>11.3872370639922</v>
      </c>
    </row>
    <row r="95" ht="21" customHeight="1" spans="1:12">
      <c r="A95" s="9" t="s">
        <v>106</v>
      </c>
      <c r="B95" s="10">
        <v>100.7</v>
      </c>
      <c r="C95" s="10">
        <v>116.5</v>
      </c>
      <c r="D95" s="10">
        <v>90.5</v>
      </c>
      <c r="E95" s="11" t="s">
        <v>13</v>
      </c>
      <c r="F95" s="10">
        <v>4.2</v>
      </c>
      <c r="G95" s="12">
        <v>100.531</v>
      </c>
      <c r="H95" s="12">
        <v>98.868</v>
      </c>
      <c r="I95" s="7">
        <f t="shared" si="2"/>
        <v>1.6820407007323</v>
      </c>
      <c r="J95" s="12">
        <v>14748.6</v>
      </c>
      <c r="K95" s="10">
        <v>8.1</v>
      </c>
      <c r="L95" s="7">
        <f t="shared" si="3"/>
        <v>11.5325730007988</v>
      </c>
    </row>
    <row r="96" ht="21" customHeight="1" spans="1:12">
      <c r="A96" s="9" t="s">
        <v>107</v>
      </c>
      <c r="B96" s="10">
        <v>98.5</v>
      </c>
      <c r="C96" s="10">
        <v>113.5</v>
      </c>
      <c r="D96" s="10">
        <v>88.9</v>
      </c>
      <c r="E96" s="11" t="s">
        <v>13</v>
      </c>
      <c r="F96" s="10">
        <v>4.2</v>
      </c>
      <c r="G96" s="12">
        <v>100.675</v>
      </c>
      <c r="H96" s="12">
        <v>98.901</v>
      </c>
      <c r="I96" s="7">
        <f t="shared" si="2"/>
        <v>1.79371290482402</v>
      </c>
      <c r="J96" s="12">
        <v>14771.1</v>
      </c>
      <c r="K96" s="10">
        <v>8</v>
      </c>
      <c r="L96" s="7">
        <f t="shared" si="3"/>
        <v>11.6923315878229</v>
      </c>
    </row>
    <row r="97" ht="21" customHeight="1" spans="1:12">
      <c r="A97" s="9" t="s">
        <v>108</v>
      </c>
      <c r="B97" s="10">
        <v>95.9</v>
      </c>
      <c r="C97" s="10">
        <v>113.8</v>
      </c>
      <c r="D97" s="10">
        <v>84.3</v>
      </c>
      <c r="E97" s="11" t="s">
        <v>13</v>
      </c>
      <c r="F97" s="10">
        <v>4.1</v>
      </c>
      <c r="G97" s="12">
        <v>100.821</v>
      </c>
      <c r="H97" s="12">
        <v>99.071</v>
      </c>
      <c r="I97" s="7">
        <f t="shared" si="2"/>
        <v>1.76640994842083</v>
      </c>
      <c r="J97" s="12">
        <v>14797.9</v>
      </c>
      <c r="K97" s="10">
        <v>8.1</v>
      </c>
      <c r="L97" s="7">
        <f t="shared" si="3"/>
        <v>11.8543090441111</v>
      </c>
    </row>
    <row r="98" ht="21" customHeight="1" spans="1:12">
      <c r="A98" s="9" t="s">
        <v>109</v>
      </c>
      <c r="B98" s="10">
        <v>95.7</v>
      </c>
      <c r="C98" s="10">
        <v>110.5</v>
      </c>
      <c r="D98" s="10">
        <v>86.3</v>
      </c>
      <c r="E98" s="11" t="s">
        <v>13</v>
      </c>
      <c r="F98" s="10">
        <v>4</v>
      </c>
      <c r="G98" s="12">
        <v>101.199</v>
      </c>
      <c r="H98" s="12">
        <v>99.451</v>
      </c>
      <c r="I98" s="7">
        <f t="shared" si="2"/>
        <v>1.75764949573156</v>
      </c>
      <c r="J98" s="12">
        <v>14886.6</v>
      </c>
      <c r="K98" s="10">
        <v>8</v>
      </c>
      <c r="L98" s="7">
        <f t="shared" si="3"/>
        <v>12.2736753350493</v>
      </c>
    </row>
    <row r="99" ht="21" customHeight="1" spans="1:12">
      <c r="A99" s="9" t="s">
        <v>110</v>
      </c>
      <c r="B99" s="10">
        <v>99.7</v>
      </c>
      <c r="C99" s="10">
        <v>114.9</v>
      </c>
      <c r="D99" s="10">
        <v>90</v>
      </c>
      <c r="E99" s="11" t="s">
        <v>13</v>
      </c>
      <c r="F99" s="10">
        <v>4.1</v>
      </c>
      <c r="G99" s="12">
        <v>101.416</v>
      </c>
      <c r="H99" s="12">
        <v>99.586</v>
      </c>
      <c r="I99" s="7">
        <f t="shared" si="2"/>
        <v>1.83760769586085</v>
      </c>
      <c r="J99" s="12">
        <v>14921.1</v>
      </c>
      <c r="K99" s="10">
        <v>8.1</v>
      </c>
      <c r="L99" s="7">
        <f t="shared" si="3"/>
        <v>12.5144226502174</v>
      </c>
    </row>
    <row r="100" ht="21" customHeight="1" spans="1:12">
      <c r="A100" s="9" t="s">
        <v>111</v>
      </c>
      <c r="B100" s="10">
        <v>101.4</v>
      </c>
      <c r="C100" s="10">
        <v>121.2</v>
      </c>
      <c r="D100" s="10">
        <v>88.8</v>
      </c>
      <c r="E100" s="11" t="s">
        <v>13</v>
      </c>
      <c r="F100" s="10">
        <v>4</v>
      </c>
      <c r="G100" s="12">
        <v>101.524</v>
      </c>
      <c r="H100" s="12">
        <v>99.535</v>
      </c>
      <c r="I100" s="7">
        <f t="shared" si="2"/>
        <v>1.99829205807003</v>
      </c>
      <c r="J100" s="12">
        <v>14974.8</v>
      </c>
      <c r="K100" s="10">
        <v>8</v>
      </c>
      <c r="L100" s="7">
        <f t="shared" si="3"/>
        <v>12.6342415904855</v>
      </c>
    </row>
    <row r="101" ht="21" customHeight="1" spans="1:12">
      <c r="A101" s="9" t="s">
        <v>112</v>
      </c>
      <c r="B101" s="10">
        <v>98.8</v>
      </c>
      <c r="C101" s="10">
        <v>114.9</v>
      </c>
      <c r="D101" s="10">
        <v>88.4</v>
      </c>
      <c r="E101" s="11" t="s">
        <v>13</v>
      </c>
      <c r="F101" s="10">
        <v>4</v>
      </c>
      <c r="G101" s="12">
        <v>101.766</v>
      </c>
      <c r="H101" s="12">
        <v>99.725</v>
      </c>
      <c r="I101" s="7">
        <f t="shared" si="2"/>
        <v>2.04662822762598</v>
      </c>
      <c r="J101" s="12">
        <v>15007.2</v>
      </c>
      <c r="K101" s="10">
        <v>7.9</v>
      </c>
      <c r="L101" s="7">
        <f t="shared" si="3"/>
        <v>12.9027247714565</v>
      </c>
    </row>
    <row r="102" ht="21" customHeight="1" spans="1:12">
      <c r="A102" s="9" t="s">
        <v>113</v>
      </c>
      <c r="B102" s="10">
        <v>98</v>
      </c>
      <c r="C102" s="10">
        <v>111.8</v>
      </c>
      <c r="D102" s="10">
        <v>89.1</v>
      </c>
      <c r="E102" s="11" t="s">
        <v>13</v>
      </c>
      <c r="F102" s="10">
        <v>3.8</v>
      </c>
      <c r="G102" s="12">
        <v>101.941</v>
      </c>
      <c r="H102" s="12">
        <v>99.682</v>
      </c>
      <c r="I102" s="7">
        <f t="shared" si="2"/>
        <v>2.26620653678697</v>
      </c>
      <c r="J102" s="12">
        <v>15057.8</v>
      </c>
      <c r="K102" s="10">
        <v>7.8</v>
      </c>
      <c r="L102" s="7">
        <f t="shared" si="3"/>
        <v>13.096875832076</v>
      </c>
    </row>
    <row r="103" ht="21" customHeight="1" spans="1:12">
      <c r="A103" s="9" t="s">
        <v>114</v>
      </c>
      <c r="B103" s="10">
        <v>98.2</v>
      </c>
      <c r="C103" s="10">
        <v>116.5</v>
      </c>
      <c r="D103" s="10">
        <v>86.3</v>
      </c>
      <c r="E103" s="11" t="s">
        <v>13</v>
      </c>
      <c r="F103" s="10">
        <v>4</v>
      </c>
      <c r="G103" s="12">
        <v>102.029</v>
      </c>
      <c r="H103" s="12">
        <v>99.766</v>
      </c>
      <c r="I103" s="7">
        <f t="shared" si="2"/>
        <v>2.2683078403464</v>
      </c>
      <c r="J103" s="12">
        <v>15119.3</v>
      </c>
      <c r="K103" s="10">
        <v>7.8</v>
      </c>
      <c r="L103" s="7">
        <f t="shared" si="3"/>
        <v>13.1945060797018</v>
      </c>
    </row>
    <row r="104" ht="21" customHeight="1" spans="1:12">
      <c r="A104" s="9" t="s">
        <v>115</v>
      </c>
      <c r="B104" s="10">
        <v>97.9</v>
      </c>
      <c r="C104" s="10">
        <v>114.4</v>
      </c>
      <c r="D104" s="10">
        <v>87.3</v>
      </c>
      <c r="E104" s="11" t="s">
        <v>13</v>
      </c>
      <c r="F104" s="10">
        <v>3.8</v>
      </c>
      <c r="G104" s="12">
        <v>102.137</v>
      </c>
      <c r="H104" s="12">
        <v>99.803</v>
      </c>
      <c r="I104" s="7">
        <f t="shared" si="2"/>
        <v>2.33860705590012</v>
      </c>
      <c r="J104" s="12">
        <v>15184.7</v>
      </c>
      <c r="K104" s="10">
        <v>7.5</v>
      </c>
      <c r="L104" s="7">
        <f t="shared" si="3"/>
        <v>13.3143250199698</v>
      </c>
    </row>
    <row r="105" ht="21" customHeight="1" spans="1:12">
      <c r="A105" s="9" t="s">
        <v>116</v>
      </c>
      <c r="B105" s="10">
        <v>96.2</v>
      </c>
      <c r="C105" s="10">
        <v>110.3</v>
      </c>
      <c r="D105" s="10">
        <v>87.1</v>
      </c>
      <c r="E105" s="11" t="s">
        <v>13</v>
      </c>
      <c r="F105" s="10">
        <v>3.8</v>
      </c>
      <c r="G105" s="12">
        <v>102.208</v>
      </c>
      <c r="H105" s="12">
        <v>100.027</v>
      </c>
      <c r="I105" s="7">
        <f t="shared" si="2"/>
        <v>2.18041128895199</v>
      </c>
      <c r="J105" s="12">
        <v>15238.6</v>
      </c>
      <c r="K105" s="10">
        <v>7.4</v>
      </c>
      <c r="L105" s="7">
        <f t="shared" si="3"/>
        <v>13.3930948788497</v>
      </c>
    </row>
    <row r="106" ht="21" customHeight="1" spans="1:12">
      <c r="A106" s="9" t="s">
        <v>117</v>
      </c>
      <c r="B106" s="10">
        <v>100.1</v>
      </c>
      <c r="C106" s="10">
        <v>115.2</v>
      </c>
      <c r="D106" s="10">
        <v>90.5</v>
      </c>
      <c r="E106" s="11" t="s">
        <v>13</v>
      </c>
      <c r="F106" s="10">
        <v>3.7</v>
      </c>
      <c r="G106" s="12">
        <v>102.418</v>
      </c>
      <c r="H106" s="12">
        <v>100.4</v>
      </c>
      <c r="I106" s="7">
        <f t="shared" si="2"/>
        <v>2.00996015936254</v>
      </c>
      <c r="J106" s="12">
        <v>15237.5</v>
      </c>
      <c r="K106" s="10">
        <v>7.5</v>
      </c>
      <c r="L106" s="7">
        <f t="shared" si="3"/>
        <v>13.6260761515932</v>
      </c>
    </row>
    <row r="107" ht="21" customHeight="1" spans="1:12">
      <c r="A107" s="9" t="s">
        <v>118</v>
      </c>
      <c r="B107" s="10">
        <v>98.6</v>
      </c>
      <c r="C107" s="10">
        <v>113.1</v>
      </c>
      <c r="D107" s="10">
        <v>89.3</v>
      </c>
      <c r="E107" s="11" t="s">
        <v>13</v>
      </c>
      <c r="F107" s="10">
        <v>3.8</v>
      </c>
      <c r="G107" s="12">
        <v>102.595</v>
      </c>
      <c r="H107" s="12">
        <v>100.531</v>
      </c>
      <c r="I107" s="7">
        <f t="shared" si="2"/>
        <v>2.05309804935789</v>
      </c>
      <c r="J107" s="12">
        <v>15274.1</v>
      </c>
      <c r="K107" s="10">
        <v>7.5</v>
      </c>
      <c r="L107" s="7">
        <f t="shared" si="3"/>
        <v>13.8224460814769</v>
      </c>
    </row>
    <row r="108" ht="21" customHeight="1" spans="1:12">
      <c r="A108" s="9" t="s">
        <v>119</v>
      </c>
      <c r="B108" s="10">
        <v>97.5</v>
      </c>
      <c r="C108" s="10">
        <v>112.3</v>
      </c>
      <c r="D108" s="10">
        <v>88.1</v>
      </c>
      <c r="E108" s="11" t="s">
        <v>13</v>
      </c>
      <c r="F108" s="10">
        <v>3.8</v>
      </c>
      <c r="G108" s="12">
        <v>102.63</v>
      </c>
      <c r="H108" s="12">
        <v>100.675</v>
      </c>
      <c r="I108" s="7">
        <f t="shared" si="2"/>
        <v>1.94189222746461</v>
      </c>
      <c r="J108" s="12">
        <v>15315.2</v>
      </c>
      <c r="K108" s="10">
        <v>7.6</v>
      </c>
      <c r="L108" s="7">
        <f t="shared" si="3"/>
        <v>13.8612762936008</v>
      </c>
    </row>
    <row r="109" ht="21" customHeight="1" spans="1:12">
      <c r="A109" s="9" t="s">
        <v>120</v>
      </c>
      <c r="B109" s="10">
        <v>98.3</v>
      </c>
      <c r="C109" s="10">
        <v>116.1</v>
      </c>
      <c r="D109" s="10">
        <v>87</v>
      </c>
      <c r="E109" s="11" t="s">
        <v>13</v>
      </c>
      <c r="F109" s="10">
        <v>3.9</v>
      </c>
      <c r="G109" s="12">
        <v>102.701</v>
      </c>
      <c r="H109" s="12">
        <v>100.821</v>
      </c>
      <c r="I109" s="7">
        <f t="shared" si="2"/>
        <v>1.86469088781107</v>
      </c>
      <c r="J109" s="12">
        <v>15506.5</v>
      </c>
      <c r="K109" s="10">
        <v>7.6</v>
      </c>
      <c r="L109" s="7">
        <f t="shared" si="3"/>
        <v>13.9400461524807</v>
      </c>
    </row>
    <row r="110" ht="21" customHeight="1" spans="1:12">
      <c r="A110" s="9" t="s">
        <v>121</v>
      </c>
      <c r="B110" s="10">
        <v>91.2</v>
      </c>
      <c r="C110" s="10">
        <v>108.8</v>
      </c>
      <c r="D110" s="10">
        <v>79.9</v>
      </c>
      <c r="E110" s="11" t="s">
        <v>13</v>
      </c>
      <c r="F110" s="10">
        <v>4</v>
      </c>
      <c r="G110" s="12">
        <v>102.648</v>
      </c>
      <c r="H110" s="12">
        <v>101.199</v>
      </c>
      <c r="I110" s="7">
        <f t="shared" si="2"/>
        <v>1.431832330359</v>
      </c>
      <c r="J110" s="12">
        <v>15536.3</v>
      </c>
      <c r="K110" s="10">
        <v>8</v>
      </c>
      <c r="L110" s="7">
        <f t="shared" si="3"/>
        <v>13.8812461169788</v>
      </c>
    </row>
    <row r="111" ht="21" customHeight="1" spans="1:12">
      <c r="A111" s="9" t="s">
        <v>122</v>
      </c>
      <c r="B111" s="10">
        <v>93.8</v>
      </c>
      <c r="C111" s="10">
        <v>108.5</v>
      </c>
      <c r="D111" s="10">
        <v>84.4</v>
      </c>
      <c r="E111" s="11" t="s">
        <v>13</v>
      </c>
      <c r="F111" s="10">
        <v>3.8</v>
      </c>
      <c r="G111" s="12">
        <v>102.836</v>
      </c>
      <c r="H111" s="12">
        <v>101.416</v>
      </c>
      <c r="I111" s="7">
        <f t="shared" si="2"/>
        <v>1.40017354263626</v>
      </c>
      <c r="J111" s="12">
        <v>15560.4</v>
      </c>
      <c r="K111" s="10">
        <v>7.2</v>
      </c>
      <c r="L111" s="7">
        <f t="shared" si="3"/>
        <v>14.0898198278157</v>
      </c>
    </row>
    <row r="112" ht="21" customHeight="1" spans="1:12">
      <c r="A112" s="9" t="s">
        <v>123</v>
      </c>
      <c r="B112" s="10">
        <v>98.4</v>
      </c>
      <c r="C112" s="10">
        <v>113.3</v>
      </c>
      <c r="D112" s="10">
        <v>88.8</v>
      </c>
      <c r="E112" s="11" t="s">
        <v>13</v>
      </c>
      <c r="F112" s="10">
        <v>3.8</v>
      </c>
      <c r="G112" s="12">
        <v>103.069</v>
      </c>
      <c r="H112" s="12">
        <v>101.524</v>
      </c>
      <c r="I112" s="7">
        <f t="shared" si="2"/>
        <v>1.52180765139278</v>
      </c>
      <c r="J112" s="12">
        <v>15566.5</v>
      </c>
      <c r="K112" s="10">
        <v>7.4</v>
      </c>
      <c r="L112" s="7">
        <f t="shared" si="3"/>
        <v>14.3483180970977</v>
      </c>
    </row>
    <row r="113" ht="21" customHeight="1" spans="1:12">
      <c r="A113" s="9" t="s">
        <v>124</v>
      </c>
      <c r="B113" s="10">
        <v>97.2</v>
      </c>
      <c r="C113" s="10">
        <v>112.3</v>
      </c>
      <c r="D113" s="10">
        <v>87.4</v>
      </c>
      <c r="E113" s="11" t="s">
        <v>13</v>
      </c>
      <c r="F113" s="10">
        <v>3.7</v>
      </c>
      <c r="G113" s="12">
        <v>103.36</v>
      </c>
      <c r="H113" s="12">
        <v>101.766</v>
      </c>
      <c r="I113" s="7">
        <f t="shared" si="2"/>
        <v>1.56633846274787</v>
      </c>
      <c r="J113" s="12">
        <v>15534.2</v>
      </c>
      <c r="K113" s="10">
        <v>7.4</v>
      </c>
      <c r="L113" s="7">
        <f t="shared" si="3"/>
        <v>14.6711635750422</v>
      </c>
    </row>
    <row r="114" ht="21" customHeight="1" spans="1:12">
      <c r="A114" s="9" t="s">
        <v>125</v>
      </c>
      <c r="B114" s="10">
        <v>100</v>
      </c>
      <c r="C114" s="10">
        <v>110</v>
      </c>
      <c r="D114" s="10">
        <v>93.5</v>
      </c>
      <c r="E114" s="11" t="s">
        <v>13</v>
      </c>
      <c r="F114" s="10">
        <v>3.6</v>
      </c>
      <c r="G114" s="12">
        <v>103.435</v>
      </c>
      <c r="H114" s="12">
        <v>101.941</v>
      </c>
      <c r="I114" s="7">
        <f t="shared" si="2"/>
        <v>1.46555360453595</v>
      </c>
      <c r="J114" s="12">
        <v>15532.4</v>
      </c>
      <c r="K114" s="10">
        <v>7.1</v>
      </c>
      <c r="L114" s="7">
        <f t="shared" si="3"/>
        <v>14.7543711724505</v>
      </c>
    </row>
    <row r="115" ht="21" customHeight="1" spans="1:12">
      <c r="A115" s="9" t="s">
        <v>126</v>
      </c>
      <c r="B115" s="10">
        <v>98.2</v>
      </c>
      <c r="C115" s="10">
        <v>111.9</v>
      </c>
      <c r="D115" s="10">
        <v>89.3</v>
      </c>
      <c r="E115" s="11" t="s">
        <v>13</v>
      </c>
      <c r="F115" s="10">
        <v>3.6</v>
      </c>
      <c r="G115" s="12">
        <v>103.484</v>
      </c>
      <c r="H115" s="12">
        <v>102.029</v>
      </c>
      <c r="I115" s="7">
        <f t="shared" si="2"/>
        <v>1.42606513834302</v>
      </c>
      <c r="J115" s="12">
        <v>15562.1</v>
      </c>
      <c r="K115" s="10">
        <v>7.2</v>
      </c>
      <c r="L115" s="7">
        <f t="shared" si="3"/>
        <v>14.808733469424</v>
      </c>
    </row>
    <row r="116" ht="21" customHeight="1" spans="1:12">
      <c r="A116" s="9" t="s">
        <v>127</v>
      </c>
      <c r="B116" s="10">
        <v>98.4</v>
      </c>
      <c r="C116" s="10">
        <v>110.7</v>
      </c>
      <c r="D116" s="10">
        <v>90.5</v>
      </c>
      <c r="E116" s="11" t="s">
        <v>13</v>
      </c>
      <c r="F116" s="10">
        <v>3.7</v>
      </c>
      <c r="G116" s="12">
        <v>103.622</v>
      </c>
      <c r="H116" s="12">
        <v>102.137</v>
      </c>
      <c r="I116" s="7">
        <f t="shared" si="2"/>
        <v>1.45392952602876</v>
      </c>
      <c r="J116" s="12">
        <v>15581.4</v>
      </c>
      <c r="K116" s="10">
        <v>6.9</v>
      </c>
      <c r="L116" s="7">
        <f t="shared" si="3"/>
        <v>14.9618354486554</v>
      </c>
    </row>
    <row r="117" ht="21" customHeight="1" spans="1:12">
      <c r="A117" s="9" t="s">
        <v>128</v>
      </c>
      <c r="B117" s="10">
        <v>89.8</v>
      </c>
      <c r="C117" s="10">
        <v>105.3</v>
      </c>
      <c r="D117" s="10">
        <v>79.9</v>
      </c>
      <c r="E117" s="11" t="s">
        <v>13</v>
      </c>
      <c r="F117" s="10">
        <v>3.6</v>
      </c>
      <c r="G117" s="12">
        <v>103.67</v>
      </c>
      <c r="H117" s="12">
        <v>102.208</v>
      </c>
      <c r="I117" s="7">
        <f t="shared" si="2"/>
        <v>1.4304164057608</v>
      </c>
      <c r="J117" s="12">
        <v>15664.3</v>
      </c>
      <c r="K117" s="10">
        <v>7.2</v>
      </c>
      <c r="L117" s="7">
        <f t="shared" si="3"/>
        <v>15.0150883109967</v>
      </c>
    </row>
    <row r="118" ht="21" customHeight="1" spans="1:12">
      <c r="A118" s="9" t="s">
        <v>129</v>
      </c>
      <c r="B118" s="10">
        <v>93.2</v>
      </c>
      <c r="C118" s="10">
        <v>108.5</v>
      </c>
      <c r="D118" s="10">
        <v>83.4</v>
      </c>
      <c r="E118" s="11" t="s">
        <v>13</v>
      </c>
      <c r="F118" s="10">
        <v>3.5</v>
      </c>
      <c r="G118" s="12">
        <v>103.733</v>
      </c>
      <c r="H118" s="12">
        <v>102.418</v>
      </c>
      <c r="I118" s="7">
        <f t="shared" si="2"/>
        <v>1.28395399246226</v>
      </c>
      <c r="J118" s="12">
        <v>15697.5</v>
      </c>
      <c r="K118" s="10">
        <v>6.9</v>
      </c>
      <c r="L118" s="7">
        <f t="shared" si="3"/>
        <v>15.0849826928197</v>
      </c>
    </row>
    <row r="119" ht="21" customHeight="1" spans="1:12">
      <c r="A119" s="9" t="s">
        <v>130</v>
      </c>
      <c r="B119" s="10">
        <v>95.5</v>
      </c>
      <c r="C119" s="10">
        <v>113.2</v>
      </c>
      <c r="D119" s="10">
        <v>84.2</v>
      </c>
      <c r="E119" s="11" t="s">
        <v>13</v>
      </c>
      <c r="F119" s="10">
        <v>3.6</v>
      </c>
      <c r="G119" s="12">
        <v>103.917</v>
      </c>
      <c r="H119" s="12">
        <v>102.595</v>
      </c>
      <c r="I119" s="7">
        <f t="shared" si="2"/>
        <v>1.2885618207515</v>
      </c>
      <c r="J119" s="12">
        <v>15718.1</v>
      </c>
      <c r="K119" s="10">
        <v>6.9</v>
      </c>
      <c r="L119" s="7">
        <f t="shared" si="3"/>
        <v>15.2891186651283</v>
      </c>
    </row>
    <row r="120" ht="21" customHeight="1" spans="1:12">
      <c r="A120" s="9" t="s">
        <v>131</v>
      </c>
      <c r="B120" s="10">
        <v>96.8</v>
      </c>
      <c r="C120" s="10">
        <v>111.6</v>
      </c>
      <c r="D120" s="10">
        <v>87.3</v>
      </c>
      <c r="E120" s="11" t="s">
        <v>13</v>
      </c>
      <c r="F120" s="10">
        <v>3.6</v>
      </c>
      <c r="G120" s="12">
        <v>104.024</v>
      </c>
      <c r="H120" s="12">
        <v>102.63</v>
      </c>
      <c r="I120" s="7">
        <f t="shared" si="2"/>
        <v>1.35827730683036</v>
      </c>
      <c r="J120" s="12">
        <v>15766.9</v>
      </c>
      <c r="K120" s="10">
        <v>6.8</v>
      </c>
      <c r="L120" s="7">
        <f t="shared" si="3"/>
        <v>15.4078281707642</v>
      </c>
    </row>
    <row r="121" ht="21" customHeight="1" spans="1:12">
      <c r="A121" s="9" t="s">
        <v>132</v>
      </c>
      <c r="B121" s="10">
        <v>99.3</v>
      </c>
      <c r="C121" s="10">
        <v>115.5</v>
      </c>
      <c r="D121" s="10">
        <v>88.9</v>
      </c>
      <c r="E121" s="11" t="s">
        <v>13</v>
      </c>
      <c r="F121" s="10">
        <v>3.6</v>
      </c>
      <c r="G121" s="12">
        <v>104.307</v>
      </c>
      <c r="H121" s="12">
        <v>102.701</v>
      </c>
      <c r="I121" s="7">
        <f t="shared" si="2"/>
        <v>1.56376276764589</v>
      </c>
      <c r="J121" s="12">
        <v>15683.8</v>
      </c>
      <c r="K121" s="10">
        <v>6.8</v>
      </c>
      <c r="L121" s="7">
        <f t="shared" si="3"/>
        <v>15.7217981716517</v>
      </c>
    </row>
    <row r="122" ht="21" customHeight="1" spans="1:12">
      <c r="A122" s="9" t="s">
        <v>133</v>
      </c>
      <c r="B122" s="10">
        <v>99.8</v>
      </c>
      <c r="C122" s="10">
        <v>114.4</v>
      </c>
      <c r="D122" s="10">
        <v>90.5</v>
      </c>
      <c r="E122" s="11" t="s">
        <v>13</v>
      </c>
      <c r="F122" s="10">
        <v>3.6</v>
      </c>
      <c r="G122" s="12">
        <v>104.49</v>
      </c>
      <c r="H122" s="12">
        <v>102.648</v>
      </c>
      <c r="I122" s="7">
        <f t="shared" si="2"/>
        <v>1.79448211363105</v>
      </c>
      <c r="J122" s="12">
        <v>15842.8</v>
      </c>
      <c r="K122" s="10">
        <v>7</v>
      </c>
      <c r="L122" s="7">
        <f t="shared" si="3"/>
        <v>15.9248247093281</v>
      </c>
    </row>
    <row r="123" ht="21" customHeight="1" spans="1:12">
      <c r="A123" s="9" t="s">
        <v>134</v>
      </c>
      <c r="B123" s="10">
        <v>101</v>
      </c>
      <c r="C123" s="10">
        <v>114.8</v>
      </c>
      <c r="D123" s="10">
        <v>92.1</v>
      </c>
      <c r="E123" s="11" t="s">
        <v>13</v>
      </c>
      <c r="F123" s="10">
        <v>3.5</v>
      </c>
      <c r="G123" s="12">
        <v>104.573</v>
      </c>
      <c r="H123" s="12">
        <v>102.836</v>
      </c>
      <c r="I123" s="7">
        <f t="shared" si="2"/>
        <v>1.68909720331401</v>
      </c>
      <c r="J123" s="12">
        <v>15900.3</v>
      </c>
      <c r="K123" s="10">
        <v>7</v>
      </c>
      <c r="L123" s="7">
        <f t="shared" si="3"/>
        <v>16.0169077837934</v>
      </c>
    </row>
    <row r="124" ht="21" customHeight="1" spans="1:12">
      <c r="A124" s="9" t="s">
        <v>135</v>
      </c>
      <c r="B124" s="10">
        <v>89.1</v>
      </c>
      <c r="C124" s="10">
        <v>103.7</v>
      </c>
      <c r="D124" s="10">
        <v>79.7</v>
      </c>
      <c r="E124" s="11" t="s">
        <v>13</v>
      </c>
      <c r="F124" s="10">
        <v>4.4</v>
      </c>
      <c r="G124" s="12">
        <v>104.271</v>
      </c>
      <c r="H124" s="12">
        <v>103.069</v>
      </c>
      <c r="I124" s="7">
        <f t="shared" si="2"/>
        <v>1.16620904442655</v>
      </c>
      <c r="J124" s="12">
        <v>15702.3</v>
      </c>
      <c r="K124" s="10">
        <v>8.8</v>
      </c>
      <c r="L124" s="7">
        <f t="shared" si="3"/>
        <v>15.6818585248957</v>
      </c>
    </row>
    <row r="125" ht="21" customHeight="1" spans="1:12">
      <c r="A125" s="9" t="s">
        <v>136</v>
      </c>
      <c r="B125" s="10">
        <v>71.8</v>
      </c>
      <c r="C125" s="10">
        <v>74.3</v>
      </c>
      <c r="D125" s="10">
        <v>70.1</v>
      </c>
      <c r="E125" s="11" t="s">
        <v>13</v>
      </c>
      <c r="F125" s="10">
        <v>14.8</v>
      </c>
      <c r="G125" s="12">
        <v>103.838</v>
      </c>
      <c r="H125" s="12">
        <v>103.36</v>
      </c>
      <c r="I125" s="7">
        <f t="shared" si="2"/>
        <v>0.462461300309602</v>
      </c>
      <c r="J125" s="12">
        <v>18015.3</v>
      </c>
      <c r="K125" s="10">
        <v>22.9</v>
      </c>
      <c r="L125" s="7">
        <f t="shared" si="3"/>
        <v>15.2014733291914</v>
      </c>
    </row>
    <row r="126" ht="21" customHeight="1" spans="1:12">
      <c r="A126" s="9" t="s">
        <v>137</v>
      </c>
      <c r="B126" s="10">
        <v>72.3</v>
      </c>
      <c r="C126" s="10">
        <v>82.3</v>
      </c>
      <c r="D126" s="10">
        <v>65.9</v>
      </c>
      <c r="E126" s="11" t="s">
        <v>13</v>
      </c>
      <c r="F126" s="10">
        <v>13.2</v>
      </c>
      <c r="G126" s="12">
        <v>103.942</v>
      </c>
      <c r="H126" s="12">
        <v>103.435</v>
      </c>
      <c r="I126" s="7">
        <f t="shared" si="2"/>
        <v>0.490162904239377</v>
      </c>
      <c r="J126" s="12">
        <v>17110</v>
      </c>
      <c r="K126" s="10">
        <v>21.1</v>
      </c>
      <c r="L126" s="7">
        <f t="shared" si="3"/>
        <v>15.316854530931</v>
      </c>
    </row>
    <row r="127" ht="21" customHeight="1" spans="1:12">
      <c r="A127" s="9" t="s">
        <v>138</v>
      </c>
      <c r="B127" s="10">
        <v>78.1</v>
      </c>
      <c r="C127" s="10">
        <v>87.1</v>
      </c>
      <c r="D127" s="10">
        <v>72.3</v>
      </c>
      <c r="E127" s="11" t="s">
        <v>13</v>
      </c>
      <c r="F127" s="10">
        <v>11</v>
      </c>
      <c r="G127" s="12">
        <v>104.27</v>
      </c>
      <c r="H127" s="12">
        <v>103.484</v>
      </c>
      <c r="I127" s="7">
        <f t="shared" si="2"/>
        <v>0.759537706312097</v>
      </c>
      <c r="J127" s="12">
        <v>17050.2</v>
      </c>
      <c r="K127" s="10">
        <v>18</v>
      </c>
      <c r="L127" s="7">
        <f t="shared" si="3"/>
        <v>15.6807490902636</v>
      </c>
    </row>
    <row r="128" ht="21" customHeight="1" spans="1:12">
      <c r="A128" s="9" t="s">
        <v>139</v>
      </c>
      <c r="B128" s="10">
        <v>72.5</v>
      </c>
      <c r="C128" s="10">
        <v>82.8</v>
      </c>
      <c r="D128" s="10">
        <v>65.9</v>
      </c>
      <c r="E128" s="11" t="s">
        <v>13</v>
      </c>
      <c r="F128" s="10">
        <v>10.2</v>
      </c>
      <c r="G128" s="12">
        <v>104.578</v>
      </c>
      <c r="H128" s="12">
        <v>103.622</v>
      </c>
      <c r="I128" s="7">
        <f t="shared" si="2"/>
        <v>0.922584007257155</v>
      </c>
      <c r="J128" s="12">
        <v>17202.9</v>
      </c>
      <c r="K128" s="10">
        <v>16.5</v>
      </c>
      <c r="L128" s="7">
        <f t="shared" si="3"/>
        <v>16.0224549569539</v>
      </c>
    </row>
    <row r="129" ht="21" customHeight="1" spans="1:12">
      <c r="A129" s="9" t="s">
        <v>140</v>
      </c>
      <c r="B129" s="10">
        <v>74.1</v>
      </c>
      <c r="C129" s="10">
        <v>82.9</v>
      </c>
      <c r="D129" s="10">
        <v>68.5</v>
      </c>
      <c r="E129" s="11" t="s">
        <v>13</v>
      </c>
      <c r="F129" s="10">
        <v>8.4</v>
      </c>
      <c r="G129" s="12">
        <v>104.87</v>
      </c>
      <c r="H129" s="12">
        <v>103.67</v>
      </c>
      <c r="I129" s="7">
        <f t="shared" si="2"/>
        <v>1.15751905083439</v>
      </c>
      <c r="J129" s="12">
        <v>16542</v>
      </c>
      <c r="K129" s="10">
        <v>14.2</v>
      </c>
      <c r="L129" s="7">
        <f t="shared" si="3"/>
        <v>16.3464098695305</v>
      </c>
    </row>
    <row r="130" ht="21" customHeight="1" spans="1:12">
      <c r="A130" s="9" t="s">
        <v>141</v>
      </c>
      <c r="B130" s="10">
        <v>80.4</v>
      </c>
      <c r="C130" s="10">
        <v>87.8</v>
      </c>
      <c r="D130" s="10">
        <v>75.6</v>
      </c>
      <c r="E130" s="11" t="s">
        <v>13</v>
      </c>
      <c r="F130" s="10">
        <v>7.8</v>
      </c>
      <c r="G130" s="12">
        <v>105.057</v>
      </c>
      <c r="H130" s="12">
        <v>103.733</v>
      </c>
      <c r="I130" s="7">
        <f t="shared" ref="I130:I193" si="4">IF(OR(G130="",H130=""),"",100*(G130/H130-1))</f>
        <v>1.27635371578958</v>
      </c>
      <c r="J130" s="12">
        <v>16633.7</v>
      </c>
      <c r="K130" s="10">
        <v>12.8</v>
      </c>
      <c r="L130" s="7">
        <f t="shared" ref="L130:L193" si="5">IF(G130="","",100*(G130/$G$2-1))</f>
        <v>16.5538741457353</v>
      </c>
    </row>
    <row r="131" ht="21" customHeight="1" spans="1:12">
      <c r="A131" s="9" t="s">
        <v>142</v>
      </c>
      <c r="B131" s="10">
        <v>81.8</v>
      </c>
      <c r="C131" s="10">
        <v>85.9</v>
      </c>
      <c r="D131" s="10">
        <v>79.2</v>
      </c>
      <c r="E131" s="11" t="s">
        <v>13</v>
      </c>
      <c r="F131" s="10">
        <v>6.9</v>
      </c>
      <c r="G131" s="12">
        <v>105.151</v>
      </c>
      <c r="H131" s="12">
        <v>103.917</v>
      </c>
      <c r="I131" s="7">
        <f t="shared" si="4"/>
        <v>1.1874861668447</v>
      </c>
      <c r="J131" s="12">
        <v>16573.6</v>
      </c>
      <c r="K131" s="10">
        <v>12.1</v>
      </c>
      <c r="L131" s="7">
        <f t="shared" si="5"/>
        <v>16.6581610011538</v>
      </c>
    </row>
    <row r="132" ht="21" customHeight="1" spans="1:12">
      <c r="A132" s="9" t="s">
        <v>143</v>
      </c>
      <c r="B132" s="10">
        <v>76.9</v>
      </c>
      <c r="C132" s="10">
        <v>87</v>
      </c>
      <c r="D132" s="10">
        <v>70.5</v>
      </c>
      <c r="E132" s="11" t="s">
        <v>13</v>
      </c>
      <c r="F132" s="10">
        <v>6.7</v>
      </c>
      <c r="G132" s="12">
        <v>105.258</v>
      </c>
      <c r="H132" s="12">
        <v>104.024</v>
      </c>
      <c r="I132" s="7">
        <f t="shared" si="4"/>
        <v>1.18626470814427</v>
      </c>
      <c r="J132" s="12">
        <v>16381.8</v>
      </c>
      <c r="K132" s="10">
        <v>11.9</v>
      </c>
      <c r="L132" s="7">
        <f t="shared" si="5"/>
        <v>16.7768705067897</v>
      </c>
    </row>
    <row r="133" ht="21" customHeight="1" spans="1:12">
      <c r="A133" s="9" t="s">
        <v>144</v>
      </c>
      <c r="B133" s="10">
        <v>80.7</v>
      </c>
      <c r="C133" s="10">
        <v>90</v>
      </c>
      <c r="D133" s="10">
        <v>74.6</v>
      </c>
      <c r="E133" s="11" t="s">
        <v>13</v>
      </c>
      <c r="F133" s="10">
        <v>6.7</v>
      </c>
      <c r="G133" s="12">
        <v>105.699</v>
      </c>
      <c r="H133" s="12">
        <v>104.307</v>
      </c>
      <c r="I133" s="7">
        <f t="shared" si="4"/>
        <v>1.33452213178407</v>
      </c>
      <c r="J133" s="12">
        <v>16397.7</v>
      </c>
      <c r="K133" s="10">
        <v>11.7</v>
      </c>
      <c r="L133" s="7">
        <f t="shared" si="5"/>
        <v>17.2661311795509</v>
      </c>
    </row>
    <row r="134" ht="21" customHeight="1" spans="1:12">
      <c r="A134" s="9" t="s">
        <v>145</v>
      </c>
      <c r="B134" s="10">
        <v>79</v>
      </c>
      <c r="C134" s="10">
        <v>86.7</v>
      </c>
      <c r="D134" s="10">
        <v>74</v>
      </c>
      <c r="E134" s="11" t="s">
        <v>13</v>
      </c>
      <c r="F134" s="10">
        <v>6.4</v>
      </c>
      <c r="G134" s="12">
        <v>106.065</v>
      </c>
      <c r="H134" s="12">
        <v>104.49</v>
      </c>
      <c r="I134" s="7">
        <f t="shared" si="4"/>
        <v>1.50732127476314</v>
      </c>
      <c r="J134" s="12">
        <v>18207.3</v>
      </c>
      <c r="K134" s="10">
        <v>11.2</v>
      </c>
      <c r="L134" s="7">
        <f t="shared" si="5"/>
        <v>17.6721842549037</v>
      </c>
    </row>
    <row r="135" ht="21" customHeight="1" spans="1:12">
      <c r="A135" s="9" t="s">
        <v>146</v>
      </c>
      <c r="B135" s="10">
        <v>76.8</v>
      </c>
      <c r="C135" s="10">
        <v>86.2</v>
      </c>
      <c r="D135" s="10">
        <v>70.7</v>
      </c>
      <c r="E135" s="11" t="s">
        <v>13</v>
      </c>
      <c r="F135" s="10">
        <v>6.2</v>
      </c>
      <c r="G135" s="12">
        <v>106.441</v>
      </c>
      <c r="H135" s="12">
        <v>104.573</v>
      </c>
      <c r="I135" s="7">
        <f t="shared" si="4"/>
        <v>1.78631195432857</v>
      </c>
      <c r="J135" s="12">
        <v>16695.6</v>
      </c>
      <c r="K135" s="10">
        <v>11.1</v>
      </c>
      <c r="L135" s="7">
        <f t="shared" si="5"/>
        <v>18.0893316765776</v>
      </c>
    </row>
    <row r="136" ht="21" customHeight="1" spans="1:12">
      <c r="A136" s="9" t="s">
        <v>147</v>
      </c>
      <c r="B136" s="10">
        <v>84.9</v>
      </c>
      <c r="C136" s="10">
        <v>93</v>
      </c>
      <c r="D136" s="10">
        <v>79.7</v>
      </c>
      <c r="E136" s="11" t="s">
        <v>13</v>
      </c>
      <c r="F136" s="10">
        <v>6.1</v>
      </c>
      <c r="G136" s="12">
        <v>107.019</v>
      </c>
      <c r="H136" s="12">
        <v>104.271</v>
      </c>
      <c r="I136" s="7">
        <f t="shared" si="4"/>
        <v>2.63544034295251</v>
      </c>
      <c r="J136" s="12">
        <v>20510.3</v>
      </c>
      <c r="K136" s="10">
        <v>10.8</v>
      </c>
      <c r="L136" s="7">
        <f t="shared" si="5"/>
        <v>18.7305848939381</v>
      </c>
    </row>
    <row r="137" ht="21" customHeight="1" spans="1:12">
      <c r="A137" s="9" t="s">
        <v>148</v>
      </c>
      <c r="B137" s="10">
        <v>88.3</v>
      </c>
      <c r="C137" s="10">
        <v>97.2</v>
      </c>
      <c r="D137" s="10">
        <v>82.7</v>
      </c>
      <c r="E137" s="11" t="s">
        <v>13</v>
      </c>
      <c r="F137" s="10">
        <v>6.1</v>
      </c>
      <c r="G137" s="12">
        <v>107.553</v>
      </c>
      <c r="H137" s="12">
        <v>103.838</v>
      </c>
      <c r="I137" s="7">
        <f t="shared" si="4"/>
        <v>3.57768832219418</v>
      </c>
      <c r="J137" s="12">
        <v>17406.3</v>
      </c>
      <c r="K137" s="10">
        <v>10.3</v>
      </c>
      <c r="L137" s="7">
        <f t="shared" si="5"/>
        <v>19.3230229874856</v>
      </c>
    </row>
    <row r="138" ht="21" customHeight="1" spans="1:12">
      <c r="A138" s="9" t="s">
        <v>149</v>
      </c>
      <c r="B138" s="10">
        <v>82.9</v>
      </c>
      <c r="C138" s="10">
        <v>89.4</v>
      </c>
      <c r="D138" s="10">
        <v>78.8</v>
      </c>
      <c r="E138" s="11" t="s">
        <v>13</v>
      </c>
      <c r="F138" s="10">
        <v>5.8</v>
      </c>
      <c r="G138" s="12">
        <v>108.069</v>
      </c>
      <c r="H138" s="12">
        <v>103.942</v>
      </c>
      <c r="I138" s="7">
        <f t="shared" si="4"/>
        <v>3.97048353889671</v>
      </c>
      <c r="J138" s="12">
        <v>16916.5</v>
      </c>
      <c r="K138" s="10">
        <v>10.1</v>
      </c>
      <c r="L138" s="7">
        <f t="shared" si="5"/>
        <v>19.8954912576551</v>
      </c>
    </row>
    <row r="139" ht="21" customHeight="1" spans="1:12">
      <c r="A139" s="9" t="s">
        <v>150</v>
      </c>
      <c r="B139" s="10">
        <v>85.5</v>
      </c>
      <c r="C139" s="10">
        <v>88.6</v>
      </c>
      <c r="D139" s="10">
        <v>83.5</v>
      </c>
      <c r="E139" s="11" t="s">
        <v>13</v>
      </c>
      <c r="F139" s="10">
        <v>5.9</v>
      </c>
      <c r="G139" s="12">
        <v>108.668</v>
      </c>
      <c r="H139" s="12">
        <v>104.27</v>
      </c>
      <c r="I139" s="7">
        <f t="shared" si="4"/>
        <v>4.21789584731946</v>
      </c>
      <c r="J139" s="12">
        <v>16839.3</v>
      </c>
      <c r="K139" s="10">
        <v>9.8</v>
      </c>
      <c r="L139" s="7">
        <f t="shared" si="5"/>
        <v>20.5600426022899</v>
      </c>
    </row>
    <row r="140" ht="21" customHeight="1" spans="1:12">
      <c r="A140" s="9" t="s">
        <v>151</v>
      </c>
      <c r="B140" s="10">
        <v>81.2</v>
      </c>
      <c r="C140" s="10">
        <v>84.5</v>
      </c>
      <c r="D140" s="10">
        <v>79</v>
      </c>
      <c r="E140" s="11" t="s">
        <v>13</v>
      </c>
      <c r="F140" s="10">
        <v>5.4</v>
      </c>
      <c r="G140" s="12">
        <v>109.162</v>
      </c>
      <c r="H140" s="12">
        <v>104.578</v>
      </c>
      <c r="I140" s="7">
        <f t="shared" si="4"/>
        <v>4.38333110214386</v>
      </c>
      <c r="J140" s="12">
        <v>16968</v>
      </c>
      <c r="K140" s="10">
        <v>9.2</v>
      </c>
      <c r="L140" s="7">
        <f t="shared" si="5"/>
        <v>21.1081033105529</v>
      </c>
    </row>
    <row r="141" ht="21" customHeight="1" spans="1:12">
      <c r="A141" s="9" t="s">
        <v>152</v>
      </c>
      <c r="B141" s="10">
        <v>70.3</v>
      </c>
      <c r="C141" s="10">
        <v>78.5</v>
      </c>
      <c r="D141" s="10">
        <v>65.1</v>
      </c>
      <c r="E141" s="11" t="s">
        <v>13</v>
      </c>
      <c r="F141" s="10">
        <v>5.1</v>
      </c>
      <c r="G141" s="12">
        <v>109.599</v>
      </c>
      <c r="H141" s="12">
        <v>104.87</v>
      </c>
      <c r="I141" s="7">
        <f t="shared" si="4"/>
        <v>4.50939258129113</v>
      </c>
      <c r="J141" s="12">
        <v>16950.2</v>
      </c>
      <c r="K141" s="10">
        <v>8.8</v>
      </c>
      <c r="L141" s="7">
        <f t="shared" si="5"/>
        <v>21.5929262447857</v>
      </c>
    </row>
    <row r="142" ht="21" customHeight="1" spans="1:12">
      <c r="A142" s="9" t="s">
        <v>153</v>
      </c>
      <c r="B142" s="10">
        <v>72.8</v>
      </c>
      <c r="C142" s="10">
        <v>80.1</v>
      </c>
      <c r="D142" s="10">
        <v>68.1</v>
      </c>
      <c r="E142" s="11" t="s">
        <v>13</v>
      </c>
      <c r="F142" s="10">
        <v>4.7</v>
      </c>
      <c r="G142" s="12">
        <v>109.948</v>
      </c>
      <c r="H142" s="12">
        <v>105.057</v>
      </c>
      <c r="I142" s="7">
        <f t="shared" si="4"/>
        <v>4.65556792979049</v>
      </c>
      <c r="J142" s="12">
        <v>16772.1</v>
      </c>
      <c r="K142" s="10">
        <v>8.4</v>
      </c>
      <c r="L142" s="7">
        <f t="shared" si="5"/>
        <v>21.9801189313926</v>
      </c>
    </row>
    <row r="143" ht="21" customHeight="1" spans="1:12">
      <c r="A143" s="9" t="s">
        <v>154</v>
      </c>
      <c r="B143" s="10">
        <v>71.7</v>
      </c>
      <c r="C143" s="10">
        <v>77.7</v>
      </c>
      <c r="D143" s="10">
        <v>67.9</v>
      </c>
      <c r="E143" s="11" t="s">
        <v>13</v>
      </c>
      <c r="F143" s="10">
        <v>4.5</v>
      </c>
      <c r="G143" s="12">
        <v>110.7</v>
      </c>
      <c r="H143" s="12">
        <v>105.151</v>
      </c>
      <c r="I143" s="7">
        <f t="shared" si="4"/>
        <v>5.27717282764786</v>
      </c>
      <c r="J143" s="12">
        <v>16775.8</v>
      </c>
      <c r="K143" s="10">
        <v>8.2</v>
      </c>
      <c r="L143" s="7">
        <f t="shared" si="5"/>
        <v>22.8144137747404</v>
      </c>
    </row>
    <row r="144" ht="21" customHeight="1" spans="1:12">
      <c r="A144" s="9" t="s">
        <v>155</v>
      </c>
      <c r="B144" s="10">
        <v>67.4</v>
      </c>
      <c r="C144" s="10">
        <v>73.6</v>
      </c>
      <c r="D144" s="10">
        <v>63.5</v>
      </c>
      <c r="E144" s="11" t="s">
        <v>13</v>
      </c>
      <c r="F144" s="10">
        <v>4.1</v>
      </c>
      <c r="G144" s="12">
        <v>111.435</v>
      </c>
      <c r="H144" s="12">
        <v>105.258</v>
      </c>
      <c r="I144" s="7">
        <f t="shared" si="4"/>
        <v>5.86843755344013</v>
      </c>
      <c r="J144" s="12">
        <v>16727.1</v>
      </c>
      <c r="K144" s="10">
        <v>7.7</v>
      </c>
      <c r="L144" s="7">
        <f t="shared" si="5"/>
        <v>23.6298482293423</v>
      </c>
    </row>
    <row r="145" ht="21" customHeight="1" spans="1:12">
      <c r="A145" s="9" t="s">
        <v>156</v>
      </c>
      <c r="B145" s="10">
        <v>70.6</v>
      </c>
      <c r="C145" s="10">
        <v>74.2</v>
      </c>
      <c r="D145" s="10">
        <v>68.3</v>
      </c>
      <c r="E145" s="11" t="s">
        <v>13</v>
      </c>
      <c r="F145" s="10">
        <v>3.9</v>
      </c>
      <c r="G145" s="12">
        <v>112.088</v>
      </c>
      <c r="H145" s="12">
        <v>105.699</v>
      </c>
      <c r="I145" s="7">
        <f t="shared" si="4"/>
        <v>6.0445226539513</v>
      </c>
      <c r="J145" s="12">
        <v>16647.1</v>
      </c>
      <c r="K145" s="10">
        <v>7.3</v>
      </c>
      <c r="L145" s="7">
        <f t="shared" si="5"/>
        <v>24.3543090441111</v>
      </c>
    </row>
    <row r="146" ht="21" customHeight="1" spans="1:12">
      <c r="A146" s="9" t="s">
        <v>157</v>
      </c>
      <c r="B146" s="10">
        <v>67.2</v>
      </c>
      <c r="C146" s="10">
        <v>72</v>
      </c>
      <c r="D146" s="10">
        <v>64.1</v>
      </c>
      <c r="E146" s="11" t="s">
        <v>13</v>
      </c>
      <c r="F146" s="10">
        <v>4</v>
      </c>
      <c r="G146" s="12">
        <v>112.678</v>
      </c>
      <c r="H146" s="12">
        <v>106.065</v>
      </c>
      <c r="I146" s="7">
        <f t="shared" si="4"/>
        <v>6.23485598453779</v>
      </c>
      <c r="J146" s="12">
        <v>16235.8</v>
      </c>
      <c r="K146" s="10">
        <v>7.1</v>
      </c>
      <c r="L146" s="7">
        <f t="shared" si="5"/>
        <v>25.0088754770569</v>
      </c>
    </row>
    <row r="147" ht="21" customHeight="1" spans="1:12">
      <c r="A147" s="9" t="s">
        <v>158</v>
      </c>
      <c r="B147" s="10">
        <v>62.8</v>
      </c>
      <c r="C147" s="10">
        <v>68.2</v>
      </c>
      <c r="D147" s="10">
        <v>59.4</v>
      </c>
      <c r="E147" s="11" t="s">
        <v>13</v>
      </c>
      <c r="F147" s="10">
        <v>3.9</v>
      </c>
      <c r="G147" s="12">
        <v>113.37</v>
      </c>
      <c r="H147" s="12">
        <v>106.441</v>
      </c>
      <c r="I147" s="7">
        <f t="shared" si="4"/>
        <v>6.50970960438177</v>
      </c>
      <c r="J147" s="12">
        <v>16227.2</v>
      </c>
      <c r="K147" s="10">
        <v>7.2</v>
      </c>
      <c r="L147" s="7">
        <f t="shared" si="5"/>
        <v>25.7766042424781</v>
      </c>
    </row>
    <row r="148" ht="21" customHeight="1" spans="1:12">
      <c r="A148" s="9" t="s">
        <v>159</v>
      </c>
      <c r="B148" s="10">
        <v>59.4</v>
      </c>
      <c r="C148" s="10">
        <v>67.2</v>
      </c>
      <c r="D148" s="10">
        <v>54.3</v>
      </c>
      <c r="E148" s="11" t="s">
        <v>13</v>
      </c>
      <c r="F148" s="10">
        <v>3.7</v>
      </c>
      <c r="G148" s="12">
        <v>114.425</v>
      </c>
      <c r="H148" s="12">
        <v>107.019</v>
      </c>
      <c r="I148" s="7">
        <f t="shared" si="4"/>
        <v>6.92026649473456</v>
      </c>
      <c r="J148" s="12">
        <v>16140.3</v>
      </c>
      <c r="K148" s="10">
        <v>7</v>
      </c>
      <c r="L148" s="7">
        <f t="shared" si="5"/>
        <v>26.9470577793556</v>
      </c>
    </row>
    <row r="149" ht="21" customHeight="1" spans="1:12">
      <c r="A149" s="9" t="s">
        <v>160</v>
      </c>
      <c r="B149" s="10">
        <v>65.2</v>
      </c>
      <c r="C149" s="10">
        <v>69.4</v>
      </c>
      <c r="D149" s="10">
        <v>62.5</v>
      </c>
      <c r="E149" s="11" t="s">
        <v>13</v>
      </c>
      <c r="F149" s="10">
        <v>3.7</v>
      </c>
      <c r="G149" s="12">
        <v>114.688</v>
      </c>
      <c r="H149" s="12">
        <v>107.553</v>
      </c>
      <c r="I149" s="7">
        <f t="shared" si="4"/>
        <v>6.6339386163101</v>
      </c>
      <c r="J149" s="12">
        <v>16146.3</v>
      </c>
      <c r="K149" s="10">
        <v>7</v>
      </c>
      <c r="L149" s="7">
        <f t="shared" si="5"/>
        <v>27.238839087601</v>
      </c>
    </row>
    <row r="150" ht="21" customHeight="1" spans="1:12">
      <c r="A150" s="9" t="s">
        <v>161</v>
      </c>
      <c r="B150" s="10">
        <v>58.4</v>
      </c>
      <c r="C150" s="10">
        <v>63.3</v>
      </c>
      <c r="D150" s="10">
        <v>55.2</v>
      </c>
      <c r="E150" s="11" t="s">
        <v>13</v>
      </c>
      <c r="F150" s="10">
        <v>3.6</v>
      </c>
      <c r="G150" s="12">
        <v>115.401</v>
      </c>
      <c r="H150" s="12">
        <v>108.069</v>
      </c>
      <c r="I150" s="7">
        <f t="shared" si="4"/>
        <v>6.78455431252254</v>
      </c>
      <c r="J150" s="12">
        <v>16123.3</v>
      </c>
      <c r="K150" s="10">
        <v>7.1</v>
      </c>
      <c r="L150" s="7">
        <f t="shared" si="5"/>
        <v>28.0298659802964</v>
      </c>
    </row>
    <row r="151" ht="21" customHeight="1" spans="1:12">
      <c r="A151" s="9" t="s">
        <v>162</v>
      </c>
      <c r="B151" s="10">
        <v>50</v>
      </c>
      <c r="C151" s="10">
        <v>53.8</v>
      </c>
      <c r="D151" s="10">
        <v>47.5</v>
      </c>
      <c r="E151" s="11" t="s">
        <v>13</v>
      </c>
      <c r="F151" s="10">
        <v>3.6</v>
      </c>
      <c r="G151" s="12">
        <v>116.512</v>
      </c>
      <c r="H151" s="12">
        <v>108.668</v>
      </c>
      <c r="I151" s="7">
        <f t="shared" si="4"/>
        <v>7.2183163396768</v>
      </c>
      <c r="J151" s="12">
        <v>16081.5</v>
      </c>
      <c r="K151" s="10">
        <v>6.7</v>
      </c>
      <c r="L151" s="7">
        <f t="shared" si="5"/>
        <v>29.2624478565723</v>
      </c>
    </row>
    <row r="152" ht="21" customHeight="1" spans="1:12">
      <c r="A152" s="9" t="s">
        <v>163</v>
      </c>
      <c r="B152" s="10">
        <v>51.5</v>
      </c>
      <c r="C152" s="10">
        <v>58.1</v>
      </c>
      <c r="D152" s="10">
        <v>47.3</v>
      </c>
      <c r="E152" s="11" t="s">
        <v>13</v>
      </c>
      <c r="F152" s="10">
        <v>3.5</v>
      </c>
      <c r="G152" s="12">
        <v>116.65</v>
      </c>
      <c r="H152" s="12">
        <v>109.162</v>
      </c>
      <c r="I152" s="7">
        <f t="shared" si="4"/>
        <v>6.85952987303273</v>
      </c>
      <c r="J152" s="12">
        <v>16264.8</v>
      </c>
      <c r="K152" s="10">
        <v>6.8</v>
      </c>
      <c r="L152" s="7">
        <f t="shared" si="5"/>
        <v>29.4155498358037</v>
      </c>
    </row>
    <row r="153" ht="21" customHeight="1" spans="1:12">
      <c r="A153" s="9" t="s">
        <v>164</v>
      </c>
      <c r="B153" s="10">
        <v>58.2</v>
      </c>
      <c r="C153" s="10">
        <v>58.6</v>
      </c>
      <c r="D153" s="10">
        <v>58</v>
      </c>
      <c r="E153" s="11" t="s">
        <v>13</v>
      </c>
      <c r="F153" s="10">
        <v>3.6</v>
      </c>
      <c r="G153" s="12">
        <v>116.924</v>
      </c>
      <c r="H153" s="12">
        <v>109.599</v>
      </c>
      <c r="I153" s="7">
        <f t="shared" si="4"/>
        <v>6.68345514101407</v>
      </c>
      <c r="J153" s="12">
        <v>16370.1</v>
      </c>
      <c r="K153" s="10">
        <v>6.9</v>
      </c>
      <c r="L153" s="7">
        <f t="shared" si="5"/>
        <v>29.7195349250022</v>
      </c>
    </row>
    <row r="154" ht="21" customHeight="1" spans="1:12">
      <c r="A154" s="9" t="s">
        <v>165</v>
      </c>
      <c r="B154" s="10">
        <v>58.6</v>
      </c>
      <c r="C154" s="10">
        <v>59.7</v>
      </c>
      <c r="D154" s="10">
        <v>58</v>
      </c>
      <c r="E154" s="11" t="s">
        <v>13</v>
      </c>
      <c r="F154" s="10">
        <v>3.5</v>
      </c>
      <c r="G154" s="12">
        <v>117.307</v>
      </c>
      <c r="H154" s="12">
        <v>109.948</v>
      </c>
      <c r="I154" s="7">
        <f t="shared" si="4"/>
        <v>6.69316404118312</v>
      </c>
      <c r="J154" s="12">
        <v>16432.6</v>
      </c>
      <c r="K154" s="10">
        <v>6.7</v>
      </c>
      <c r="L154" s="7">
        <f t="shared" si="5"/>
        <v>30.1444483891009</v>
      </c>
    </row>
    <row r="155" ht="21" customHeight="1" spans="1:12">
      <c r="A155" s="9" t="s">
        <v>166</v>
      </c>
      <c r="B155" s="10">
        <v>59.9</v>
      </c>
      <c r="C155" s="10">
        <v>65.6</v>
      </c>
      <c r="D155" s="10">
        <v>56.2</v>
      </c>
      <c r="E155" s="11" t="s">
        <v>13</v>
      </c>
      <c r="F155" s="10">
        <v>3.6</v>
      </c>
      <c r="G155" s="12">
        <v>117.902</v>
      </c>
      <c r="H155" s="12">
        <v>110.7</v>
      </c>
      <c r="I155" s="7">
        <f t="shared" si="4"/>
        <v>6.50587172538393</v>
      </c>
      <c r="J155" s="12">
        <v>16480.2</v>
      </c>
      <c r="K155" s="10">
        <v>6.7</v>
      </c>
      <c r="L155" s="7">
        <f t="shared" si="5"/>
        <v>30.8045619952072</v>
      </c>
    </row>
    <row r="156" ht="21" customHeight="1" spans="1:12">
      <c r="A156" s="9" t="s">
        <v>167</v>
      </c>
      <c r="B156" s="10">
        <v>56.7</v>
      </c>
      <c r="C156" s="10">
        <v>58.7</v>
      </c>
      <c r="D156" s="10">
        <v>55.5</v>
      </c>
      <c r="E156" s="11" t="s">
        <v>13</v>
      </c>
      <c r="F156" s="10">
        <v>3.6</v>
      </c>
      <c r="G156" s="12">
        <v>118.221</v>
      </c>
      <c r="H156" s="12">
        <v>111.435</v>
      </c>
      <c r="I156" s="7">
        <f t="shared" si="4"/>
        <v>6.08964867411497</v>
      </c>
      <c r="J156" s="12">
        <v>16511.2</v>
      </c>
      <c r="K156" s="10">
        <v>6.7</v>
      </c>
      <c r="L156" s="7">
        <f t="shared" si="5"/>
        <v>31.1584716428508</v>
      </c>
    </row>
    <row r="157" ht="21" customHeight="1" spans="1:12">
      <c r="A157" s="9" t="s">
        <v>168</v>
      </c>
      <c r="B157" s="10">
        <v>59.8</v>
      </c>
      <c r="C157" s="10">
        <v>59.6</v>
      </c>
      <c r="D157" s="10">
        <v>60</v>
      </c>
      <c r="E157" s="11" t="s">
        <v>13</v>
      </c>
      <c r="F157" s="10">
        <v>3.5</v>
      </c>
      <c r="G157" s="12">
        <v>118.372</v>
      </c>
      <c r="H157" s="12">
        <v>112.088</v>
      </c>
      <c r="I157" s="7">
        <f t="shared" si="4"/>
        <v>5.60630932838484</v>
      </c>
      <c r="J157" s="12">
        <v>16590.5</v>
      </c>
      <c r="K157" s="10">
        <v>6.6</v>
      </c>
      <c r="L157" s="7">
        <f t="shared" si="5"/>
        <v>31.3259962722996</v>
      </c>
    </row>
    <row r="158" ht="21" customHeight="1" spans="1:12">
      <c r="A158" s="9" t="s">
        <v>169</v>
      </c>
      <c r="B158" s="10">
        <v>64.9</v>
      </c>
      <c r="C158" s="10">
        <v>68.5</v>
      </c>
      <c r="D158" s="10">
        <v>62.6</v>
      </c>
      <c r="E158" s="11" t="s">
        <v>13</v>
      </c>
      <c r="F158" s="10">
        <v>3.5</v>
      </c>
      <c r="G158" s="12">
        <v>118.938</v>
      </c>
      <c r="H158" s="12">
        <v>112.678</v>
      </c>
      <c r="I158" s="7">
        <f t="shared" si="4"/>
        <v>5.55565416496566</v>
      </c>
      <c r="J158" s="12">
        <v>16911.9</v>
      </c>
      <c r="K158" s="10">
        <v>6.7</v>
      </c>
      <c r="L158" s="7">
        <f t="shared" si="5"/>
        <v>31.9539362740747</v>
      </c>
    </row>
    <row r="159" ht="21" customHeight="1" spans="1:12">
      <c r="A159" s="9" t="s">
        <v>170</v>
      </c>
      <c r="B159" s="10">
        <v>66.9</v>
      </c>
      <c r="C159" s="10">
        <v>70.7</v>
      </c>
      <c r="D159" s="10">
        <v>64.5</v>
      </c>
      <c r="E159" s="11" t="s">
        <v>13</v>
      </c>
      <c r="F159" s="10">
        <v>3.6</v>
      </c>
      <c r="G159" s="12">
        <v>119.265</v>
      </c>
      <c r="H159" s="12">
        <v>113.37</v>
      </c>
      <c r="I159" s="7">
        <f t="shared" si="4"/>
        <v>5.19978830378407</v>
      </c>
      <c r="J159" s="12">
        <v>17003.9</v>
      </c>
      <c r="K159" s="10">
        <v>6.8</v>
      </c>
      <c r="L159" s="7">
        <f t="shared" si="5"/>
        <v>32.3167213987752</v>
      </c>
    </row>
    <row r="160" ht="21" customHeight="1" spans="1:12">
      <c r="A160" s="9" t="s">
        <v>171</v>
      </c>
      <c r="B160" s="10">
        <v>62</v>
      </c>
      <c r="C160" s="10">
        <v>66.3</v>
      </c>
      <c r="D160" s="10">
        <v>59.2</v>
      </c>
      <c r="E160" s="11" t="s">
        <v>13</v>
      </c>
      <c r="F160" s="10">
        <v>3.5</v>
      </c>
      <c r="G160" s="12">
        <v>119.564</v>
      </c>
      <c r="H160" s="12">
        <v>114.425</v>
      </c>
      <c r="I160" s="7">
        <f t="shared" si="4"/>
        <v>4.49115140922001</v>
      </c>
      <c r="J160" s="12">
        <v>17092.8</v>
      </c>
      <c r="K160" s="10">
        <v>6.7</v>
      </c>
      <c r="L160" s="7">
        <f t="shared" si="5"/>
        <v>32.6484423537765</v>
      </c>
    </row>
    <row r="161" ht="21" customHeight="1" spans="1:12">
      <c r="A161" s="9" t="s">
        <v>172</v>
      </c>
      <c r="B161" s="10">
        <v>63.7</v>
      </c>
      <c r="C161" s="10">
        <v>68.5</v>
      </c>
      <c r="D161" s="10">
        <v>60.6</v>
      </c>
      <c r="E161" s="11" t="s">
        <v>13</v>
      </c>
      <c r="F161" s="10">
        <v>3.4</v>
      </c>
      <c r="G161" s="12">
        <v>119.886</v>
      </c>
      <c r="H161" s="12">
        <v>114.688</v>
      </c>
      <c r="I161" s="7">
        <f t="shared" si="4"/>
        <v>4.53229631696428</v>
      </c>
      <c r="J161" s="12">
        <v>17149.6</v>
      </c>
      <c r="K161" s="10">
        <v>6.6</v>
      </c>
      <c r="L161" s="7">
        <f t="shared" si="5"/>
        <v>33.0056803053164</v>
      </c>
    </row>
    <row r="162" ht="21" customHeight="1" spans="1:12">
      <c r="A162" s="9" t="s">
        <v>173</v>
      </c>
      <c r="B162" s="10">
        <v>59</v>
      </c>
      <c r="C162" s="10">
        <v>65.1</v>
      </c>
      <c r="D162" s="10">
        <v>55.1</v>
      </c>
      <c r="E162" s="11" t="s">
        <v>13</v>
      </c>
      <c r="F162" s="10">
        <v>3.6</v>
      </c>
      <c r="G162" s="12">
        <v>120.129</v>
      </c>
      <c r="H162" s="12">
        <v>115.401</v>
      </c>
      <c r="I162" s="7">
        <f t="shared" si="4"/>
        <v>4.09701822341229</v>
      </c>
      <c r="J162" s="12">
        <v>17216.3</v>
      </c>
      <c r="K162" s="10">
        <v>6.7</v>
      </c>
      <c r="L162" s="7">
        <f t="shared" si="5"/>
        <v>33.2752729209195</v>
      </c>
    </row>
    <row r="163" ht="21" customHeight="1" spans="1:12">
      <c r="A163" s="9" t="s">
        <v>174</v>
      </c>
      <c r="B163" s="10">
        <v>64.2</v>
      </c>
      <c r="C163" s="10">
        <v>68.9</v>
      </c>
      <c r="D163" s="10">
        <v>61.1</v>
      </c>
      <c r="E163" s="11" t="s">
        <v>13</v>
      </c>
      <c r="F163" s="10">
        <v>3.6</v>
      </c>
      <c r="G163" s="12">
        <v>120.41</v>
      </c>
      <c r="H163" s="12">
        <v>116.512</v>
      </c>
      <c r="I163" s="7">
        <f t="shared" si="4"/>
        <v>3.34557813787422</v>
      </c>
      <c r="J163" s="12">
        <v>17256.7</v>
      </c>
      <c r="K163" s="10">
        <v>6.9</v>
      </c>
      <c r="L163" s="7">
        <f t="shared" si="5"/>
        <v>33.5870240525428</v>
      </c>
    </row>
    <row r="164" ht="21" customHeight="1" spans="1:12">
      <c r="A164" s="9" t="s">
        <v>175</v>
      </c>
      <c r="B164" s="10">
        <v>71.5</v>
      </c>
      <c r="C164" s="10">
        <v>76.5</v>
      </c>
      <c r="D164" s="10">
        <v>68.3</v>
      </c>
      <c r="E164" s="11" t="s">
        <v>13</v>
      </c>
      <c r="F164" s="10">
        <v>3.5</v>
      </c>
      <c r="G164" s="12">
        <v>120.571</v>
      </c>
      <c r="H164" s="12">
        <v>116.65</v>
      </c>
      <c r="I164" s="7">
        <f t="shared" si="4"/>
        <v>3.36133733390485</v>
      </c>
      <c r="J164" s="12">
        <v>17305.2</v>
      </c>
      <c r="K164" s="10">
        <v>6.7</v>
      </c>
      <c r="L164" s="7">
        <f t="shared" si="5"/>
        <v>33.7656430283128</v>
      </c>
    </row>
    <row r="165" ht="21" customHeight="1" spans="1:12">
      <c r="A165" s="9" t="s">
        <v>176</v>
      </c>
      <c r="B165" s="10">
        <v>69.4</v>
      </c>
      <c r="C165" s="10">
        <v>75.5</v>
      </c>
      <c r="D165" s="10">
        <v>65.4</v>
      </c>
      <c r="E165" s="11" t="s">
        <v>13</v>
      </c>
      <c r="F165" s="10">
        <v>3.7</v>
      </c>
      <c r="G165" s="12">
        <v>120.944</v>
      </c>
      <c r="H165" s="12">
        <v>116.924</v>
      </c>
      <c r="I165" s="7">
        <f t="shared" si="4"/>
        <v>3.43813075159933</v>
      </c>
      <c r="J165" s="12">
        <v>17348.5</v>
      </c>
      <c r="K165" s="10">
        <v>7.1</v>
      </c>
      <c r="L165" s="7">
        <f t="shared" si="5"/>
        <v>34.1794621460904</v>
      </c>
    </row>
    <row r="166" ht="21" customHeight="1" spans="1:12">
      <c r="A166" s="9" t="s">
        <v>177</v>
      </c>
      <c r="B166" s="10">
        <v>67.8</v>
      </c>
      <c r="C166" s="10">
        <v>71.1</v>
      </c>
      <c r="D166" s="10">
        <v>65.7</v>
      </c>
      <c r="E166" s="11" t="s">
        <v>13</v>
      </c>
      <c r="F166" s="10">
        <v>3.7</v>
      </c>
      <c r="G166" s="12">
        <v>121.403</v>
      </c>
      <c r="H166" s="12">
        <v>117.307</v>
      </c>
      <c r="I166" s="7">
        <f t="shared" si="4"/>
        <v>3.49169273785879</v>
      </c>
      <c r="J166" s="12">
        <v>17369.5</v>
      </c>
      <c r="K166" s="10">
        <v>7</v>
      </c>
      <c r="L166" s="7">
        <f t="shared" si="5"/>
        <v>34.6886926422295</v>
      </c>
    </row>
    <row r="167" ht="21" customHeight="1" spans="1:12">
      <c r="A167" s="9" t="s">
        <v>178</v>
      </c>
      <c r="B167" s="10">
        <v>63.8</v>
      </c>
      <c r="C167" s="10">
        <v>70.6</v>
      </c>
      <c r="D167" s="10">
        <v>59.3</v>
      </c>
      <c r="E167" s="11" t="s">
        <v>13</v>
      </c>
      <c r="F167" s="10">
        <v>3.9</v>
      </c>
      <c r="G167" s="12">
        <v>121.557</v>
      </c>
      <c r="H167" s="12">
        <v>117.902</v>
      </c>
      <c r="I167" s="7">
        <f t="shared" si="4"/>
        <v>3.10003223015725</v>
      </c>
      <c r="J167" s="12">
        <v>17435.9</v>
      </c>
      <c r="K167" s="10">
        <v>7.2</v>
      </c>
      <c r="L167" s="7">
        <f t="shared" si="5"/>
        <v>34.8595455755747</v>
      </c>
    </row>
    <row r="168" ht="21" customHeight="1" spans="1:12">
      <c r="A168" s="9" t="s">
        <v>179</v>
      </c>
      <c r="B168" s="10">
        <v>61.3</v>
      </c>
      <c r="C168" s="10">
        <v>68.3</v>
      </c>
      <c r="D168" s="10">
        <v>56.8</v>
      </c>
      <c r="E168" s="11" t="s">
        <v>13</v>
      </c>
      <c r="F168" s="10">
        <v>3.7</v>
      </c>
      <c r="G168" s="12">
        <v>121.636</v>
      </c>
      <c r="H168" s="12">
        <v>118.221</v>
      </c>
      <c r="I168" s="7">
        <f t="shared" si="4"/>
        <v>2.88865768349109</v>
      </c>
      <c r="J168" s="12">
        <v>17524.8</v>
      </c>
      <c r="K168" s="10">
        <v>7</v>
      </c>
      <c r="L168" s="7">
        <f t="shared" si="5"/>
        <v>34.9471909115115</v>
      </c>
    </row>
    <row r="169" ht="21" customHeight="1" spans="1:12">
      <c r="A169" s="9" t="s">
        <v>180</v>
      </c>
      <c r="B169" s="10">
        <v>69.7</v>
      </c>
      <c r="C169" s="10">
        <v>73.3</v>
      </c>
      <c r="D169" s="10">
        <v>67.4</v>
      </c>
      <c r="E169" s="11" t="s">
        <v>13</v>
      </c>
      <c r="F169" s="10">
        <v>3.8</v>
      </c>
      <c r="G169" s="12">
        <v>121.76</v>
      </c>
      <c r="H169" s="12">
        <v>118.372</v>
      </c>
      <c r="I169" s="7">
        <f t="shared" si="4"/>
        <v>2.86216334944076</v>
      </c>
      <c r="J169" s="12">
        <v>17589.4</v>
      </c>
      <c r="K169" s="10">
        <v>7.2</v>
      </c>
      <c r="L169" s="7">
        <f t="shared" si="5"/>
        <v>35.0847608058933</v>
      </c>
    </row>
    <row r="170" ht="21" customHeight="1" spans="1:12">
      <c r="A170" s="9" t="s">
        <v>181</v>
      </c>
      <c r="B170" s="10">
        <v>79</v>
      </c>
      <c r="C170" s="10">
        <v>81.9</v>
      </c>
      <c r="D170" s="10">
        <v>77.1</v>
      </c>
      <c r="E170" s="11" t="s">
        <v>13</v>
      </c>
      <c r="F170" s="10">
        <v>3.7</v>
      </c>
      <c r="G170" s="12">
        <v>122.206</v>
      </c>
      <c r="H170" s="12">
        <v>118.938</v>
      </c>
      <c r="I170" s="7">
        <f t="shared" si="4"/>
        <v>2.74765003615329</v>
      </c>
      <c r="J170" s="12">
        <v>17679.6</v>
      </c>
      <c r="K170" s="10">
        <v>7.2</v>
      </c>
      <c r="L170" s="7">
        <f t="shared" si="5"/>
        <v>35.579568651815</v>
      </c>
    </row>
    <row r="171" ht="21" customHeight="1" spans="1:12">
      <c r="A171" s="9" t="s">
        <v>182</v>
      </c>
      <c r="B171" s="10">
        <v>76.9</v>
      </c>
      <c r="C171" s="10">
        <v>79.4</v>
      </c>
      <c r="D171" s="10">
        <v>75.2</v>
      </c>
      <c r="E171" s="11" t="s">
        <v>13</v>
      </c>
      <c r="F171" s="10">
        <v>3.9</v>
      </c>
      <c r="G171" s="12">
        <v>122.613</v>
      </c>
      <c r="H171" s="12">
        <v>119.265</v>
      </c>
      <c r="I171" s="7">
        <f t="shared" si="4"/>
        <v>2.80719406363978</v>
      </c>
      <c r="J171" s="12">
        <v>17681</v>
      </c>
      <c r="K171" s="10">
        <v>7.3</v>
      </c>
      <c r="L171" s="7">
        <f t="shared" si="5"/>
        <v>36.0311085470844</v>
      </c>
    </row>
    <row r="172" ht="21" customHeight="1" spans="1:12">
      <c r="A172" s="9" t="s">
        <v>183</v>
      </c>
      <c r="B172" s="10">
        <v>79.4</v>
      </c>
      <c r="C172" s="10">
        <v>82.5</v>
      </c>
      <c r="D172" s="10">
        <v>77.4</v>
      </c>
      <c r="E172" s="11" t="s">
        <v>13</v>
      </c>
      <c r="F172" s="10">
        <v>3.9</v>
      </c>
      <c r="G172" s="12">
        <v>123.093</v>
      </c>
      <c r="H172" s="12">
        <v>119.564</v>
      </c>
      <c r="I172" s="7">
        <f t="shared" si="4"/>
        <v>2.95155732494732</v>
      </c>
      <c r="J172" s="12">
        <v>17699.2</v>
      </c>
      <c r="K172" s="10">
        <v>7.3</v>
      </c>
      <c r="L172" s="7">
        <f t="shared" si="5"/>
        <v>36.5636371704979</v>
      </c>
    </row>
    <row r="173" ht="21" customHeight="1" spans="1:12">
      <c r="A173" s="9" t="s">
        <v>184</v>
      </c>
      <c r="B173" s="10">
        <v>77.2</v>
      </c>
      <c r="C173" s="10">
        <v>79</v>
      </c>
      <c r="D173" s="10">
        <v>76</v>
      </c>
      <c r="E173" s="11" t="s">
        <v>13</v>
      </c>
      <c r="F173" s="10">
        <v>3.9</v>
      </c>
      <c r="G173" s="12">
        <v>123.289</v>
      </c>
      <c r="H173" s="12">
        <v>119.886</v>
      </c>
      <c r="I173" s="7">
        <f t="shared" si="4"/>
        <v>2.83852993677327</v>
      </c>
      <c r="J173" s="12">
        <v>17747.2</v>
      </c>
      <c r="K173" s="10">
        <v>7.4</v>
      </c>
      <c r="L173" s="7">
        <f t="shared" si="5"/>
        <v>36.7810863583918</v>
      </c>
    </row>
    <row r="174" ht="21" customHeight="1" spans="1:12">
      <c r="A174" s="9" t="s">
        <v>185</v>
      </c>
      <c r="B174" s="10">
        <v>69.1</v>
      </c>
      <c r="C174" s="10">
        <v>69.6</v>
      </c>
      <c r="D174" s="10">
        <v>68.8</v>
      </c>
      <c r="E174" s="11" t="s">
        <v>13</v>
      </c>
      <c r="F174" s="10">
        <v>3.9</v>
      </c>
      <c r="G174" s="12">
        <v>123.369</v>
      </c>
      <c r="H174" s="12">
        <v>120.129</v>
      </c>
      <c r="I174" s="7">
        <f t="shared" si="4"/>
        <v>2.6971006168369</v>
      </c>
      <c r="J174" s="12">
        <v>17820.5</v>
      </c>
      <c r="K174" s="10">
        <v>7.4</v>
      </c>
      <c r="L174" s="7">
        <f t="shared" si="5"/>
        <v>36.8698411289607</v>
      </c>
    </row>
    <row r="175" ht="21" customHeight="1" spans="1:12">
      <c r="A175" s="9" t="s">
        <v>186</v>
      </c>
      <c r="B175" s="10">
        <v>68.2</v>
      </c>
      <c r="C175" s="10">
        <v>65.9</v>
      </c>
      <c r="D175" s="10">
        <v>69.6</v>
      </c>
      <c r="E175" s="11" t="s">
        <v>13</v>
      </c>
      <c r="F175" s="10">
        <v>4.1</v>
      </c>
      <c r="G175" s="12">
        <v>123.504</v>
      </c>
      <c r="H175" s="12">
        <v>120.41</v>
      </c>
      <c r="I175" s="7">
        <f t="shared" si="4"/>
        <v>2.56955402375219</v>
      </c>
      <c r="J175" s="12">
        <v>17869.8</v>
      </c>
      <c r="K175" s="10">
        <v>7.4</v>
      </c>
      <c r="L175" s="7">
        <f t="shared" si="5"/>
        <v>37.0196148042957</v>
      </c>
    </row>
    <row r="176" ht="21" customHeight="1" spans="1:12">
      <c r="A176" s="9" t="s">
        <v>187</v>
      </c>
      <c r="B176" s="10">
        <v>66.4</v>
      </c>
      <c r="C176" s="10">
        <v>62.7</v>
      </c>
      <c r="D176" s="10">
        <v>68.8</v>
      </c>
      <c r="E176" s="11" t="s">
        <v>13</v>
      </c>
      <c r="F176" s="10">
        <v>4.2</v>
      </c>
      <c r="G176" s="12">
        <v>123.701</v>
      </c>
      <c r="H176" s="12">
        <v>120.571</v>
      </c>
      <c r="I176" s="7">
        <f t="shared" si="4"/>
        <v>2.59598079140091</v>
      </c>
      <c r="J176" s="12">
        <v>17862.8</v>
      </c>
      <c r="K176" s="10">
        <v>7.8</v>
      </c>
      <c r="L176" s="7">
        <f t="shared" si="5"/>
        <v>37.2381734268217</v>
      </c>
    </row>
    <row r="177" ht="21" customHeight="1" spans="1:12">
      <c r="A177" s="9" t="s">
        <v>188</v>
      </c>
      <c r="B177" s="10">
        <v>67.9</v>
      </c>
      <c r="C177" s="10">
        <v>61.3</v>
      </c>
      <c r="D177" s="10">
        <v>72.1</v>
      </c>
      <c r="E177" s="11" t="s">
        <v>13</v>
      </c>
      <c r="F177" s="10">
        <v>4.2</v>
      </c>
      <c r="G177" s="12">
        <v>123.891</v>
      </c>
      <c r="H177" s="12">
        <v>120.944</v>
      </c>
      <c r="I177" s="7">
        <f t="shared" si="4"/>
        <v>2.43666490276493</v>
      </c>
      <c r="J177" s="12">
        <v>17865.2</v>
      </c>
      <c r="K177" s="10">
        <v>7.8</v>
      </c>
      <c r="L177" s="7">
        <f t="shared" si="5"/>
        <v>37.4489660069229</v>
      </c>
    </row>
    <row r="178" ht="21" customHeight="1" spans="1:12">
      <c r="A178" s="9" t="s">
        <v>189</v>
      </c>
      <c r="B178" s="10">
        <v>70.1</v>
      </c>
      <c r="C178" s="10">
        <v>63.3</v>
      </c>
      <c r="D178" s="10">
        <v>74.4</v>
      </c>
      <c r="E178" s="11" t="s">
        <v>13</v>
      </c>
      <c r="F178" s="10">
        <v>4.1</v>
      </c>
      <c r="G178" s="12">
        <v>124.146</v>
      </c>
      <c r="H178" s="12">
        <v>121.403</v>
      </c>
      <c r="I178" s="7">
        <f t="shared" si="4"/>
        <v>2.25941698310586</v>
      </c>
      <c r="J178" s="12">
        <v>17875.4</v>
      </c>
      <c r="K178" s="10">
        <v>7.7</v>
      </c>
      <c r="L178" s="7">
        <f t="shared" si="5"/>
        <v>37.7318718381113</v>
      </c>
    </row>
    <row r="179" ht="21" customHeight="1" spans="1:12">
      <c r="A179" s="9" t="s">
        <v>190</v>
      </c>
      <c r="B179" s="10">
        <v>70.5</v>
      </c>
      <c r="C179" s="10">
        <v>64.9</v>
      </c>
      <c r="D179" s="10">
        <v>74.1</v>
      </c>
      <c r="E179" s="11" t="s">
        <v>13</v>
      </c>
      <c r="F179" s="10">
        <v>4.1</v>
      </c>
      <c r="G179" s="12">
        <v>124.482</v>
      </c>
      <c r="H179" s="12">
        <v>121.557</v>
      </c>
      <c r="I179" s="7">
        <f t="shared" si="4"/>
        <v>2.40627853599547</v>
      </c>
      <c r="J179" s="12">
        <v>17914.4</v>
      </c>
      <c r="K179" s="10">
        <v>7.7</v>
      </c>
      <c r="L179" s="7">
        <f t="shared" si="5"/>
        <v>38.1046418745008</v>
      </c>
    </row>
    <row r="180" ht="21" customHeight="1" spans="1:12">
      <c r="A180" s="9" t="s">
        <v>191</v>
      </c>
      <c r="B180" s="10">
        <v>71.8</v>
      </c>
      <c r="C180" s="10">
        <v>63.9</v>
      </c>
      <c r="D180" s="10">
        <v>76.9</v>
      </c>
      <c r="E180" s="11" t="s">
        <v>13</v>
      </c>
      <c r="F180" s="10">
        <v>4.2</v>
      </c>
      <c r="G180" s="12">
        <v>124.666</v>
      </c>
      <c r="H180" s="12">
        <v>121.636</v>
      </c>
      <c r="I180" s="7">
        <f t="shared" si="4"/>
        <v>2.49103883718635</v>
      </c>
      <c r="J180" s="12">
        <v>17955.4</v>
      </c>
      <c r="K180" s="10">
        <v>7.7</v>
      </c>
      <c r="L180" s="7">
        <f t="shared" si="5"/>
        <v>38.3087778468093</v>
      </c>
    </row>
    <row r="181" ht="21" customHeight="1" spans="1:12">
      <c r="A181" s="9" t="s">
        <v>192</v>
      </c>
      <c r="B181" s="10">
        <v>74</v>
      </c>
      <c r="C181" s="10">
        <v>75.1</v>
      </c>
      <c r="D181" s="10">
        <v>73.3</v>
      </c>
      <c r="E181" s="11" t="s">
        <v>13</v>
      </c>
      <c r="F181" s="10">
        <v>4.1</v>
      </c>
      <c r="G181" s="12">
        <v>124.984</v>
      </c>
      <c r="H181" s="12">
        <v>121.76</v>
      </c>
      <c r="I181" s="7">
        <f t="shared" si="4"/>
        <v>2.6478318002628</v>
      </c>
      <c r="J181" s="12">
        <v>17963.9</v>
      </c>
      <c r="K181" s="10">
        <v>7.6</v>
      </c>
      <c r="L181" s="7">
        <f t="shared" si="5"/>
        <v>38.6615780598207</v>
      </c>
    </row>
    <row r="182" ht="21" customHeight="1" spans="1:12">
      <c r="A182" s="9" t="s">
        <v>193</v>
      </c>
      <c r="B182" s="10">
        <v>71.7</v>
      </c>
      <c r="C182" s="10">
        <v>75.1</v>
      </c>
      <c r="D182" s="10">
        <v>69.5</v>
      </c>
      <c r="E182" s="11" t="s">
        <v>13</v>
      </c>
      <c r="F182" s="10">
        <v>4</v>
      </c>
      <c r="G182" s="12">
        <v>125.423</v>
      </c>
      <c r="H182" s="12">
        <v>122.206</v>
      </c>
      <c r="I182" s="7">
        <f t="shared" si="4"/>
        <v>2.6324403057133</v>
      </c>
      <c r="J182" s="12">
        <v>17955.6</v>
      </c>
      <c r="K182" s="10">
        <v>7.5</v>
      </c>
      <c r="L182" s="7">
        <f t="shared" si="5"/>
        <v>39.1486198633177</v>
      </c>
    </row>
    <row r="183" ht="21" customHeight="1" spans="1:12">
      <c r="A183" s="9" t="s">
        <v>194</v>
      </c>
      <c r="B183" s="10">
        <v>64.7</v>
      </c>
      <c r="C183" s="10">
        <v>65.7</v>
      </c>
      <c r="D183" s="10">
        <v>64</v>
      </c>
      <c r="E183" s="11" t="s">
        <v>13</v>
      </c>
      <c r="F183" s="10">
        <v>4.2</v>
      </c>
      <c r="G183" s="12">
        <v>125.77</v>
      </c>
      <c r="H183" s="12">
        <v>122.613</v>
      </c>
      <c r="I183" s="7">
        <f t="shared" si="4"/>
        <v>2.57476776524512</v>
      </c>
      <c r="J183" s="12">
        <v>17957.4</v>
      </c>
      <c r="K183" s="10">
        <v>8</v>
      </c>
      <c r="L183" s="7">
        <f t="shared" si="5"/>
        <v>39.5335936806603</v>
      </c>
    </row>
    <row r="184" ht="21" customHeight="1" spans="1:12">
      <c r="A184" s="9" t="s">
        <v>195</v>
      </c>
      <c r="B184" s="10">
        <v>57</v>
      </c>
      <c r="C184" s="10">
        <v>63.8</v>
      </c>
      <c r="D184" s="10">
        <v>52.6</v>
      </c>
      <c r="E184" s="11" t="s">
        <v>13</v>
      </c>
      <c r="F184" s="10">
        <v>4.2</v>
      </c>
      <c r="G184" s="12">
        <v>125.869</v>
      </c>
      <c r="H184" s="12">
        <v>123.093</v>
      </c>
      <c r="I184" s="7">
        <f t="shared" si="4"/>
        <v>2.25520541379283</v>
      </c>
      <c r="J184" s="12">
        <v>18073</v>
      </c>
      <c r="K184" s="10">
        <v>7.9</v>
      </c>
      <c r="L184" s="7">
        <f t="shared" si="5"/>
        <v>39.6434277092394</v>
      </c>
    </row>
    <row r="185" ht="21" customHeight="1" spans="1:12">
      <c r="A185" s="9" t="s">
        <v>196</v>
      </c>
      <c r="B185" s="10">
        <v>52.2</v>
      </c>
      <c r="C185" s="10">
        <v>59.8</v>
      </c>
      <c r="D185" s="10">
        <v>47.3</v>
      </c>
      <c r="E185" s="11" t="s">
        <v>13</v>
      </c>
      <c r="F185" s="10">
        <v>4.2</v>
      </c>
      <c r="G185" s="12">
        <v>126.163</v>
      </c>
      <c r="H185" s="12">
        <v>123.289</v>
      </c>
      <c r="I185" s="7">
        <f t="shared" si="4"/>
        <v>2.33110820916707</v>
      </c>
      <c r="J185" s="12">
        <v>18190.1</v>
      </c>
      <c r="K185" s="10">
        <v>7.8</v>
      </c>
      <c r="L185" s="7">
        <f t="shared" si="5"/>
        <v>39.9696014910802</v>
      </c>
    </row>
    <row r="186" ht="21" customHeight="1" spans="1:12">
      <c r="A186" s="9" t="s">
        <v>197</v>
      </c>
      <c r="B186" s="10">
        <v>52.2</v>
      </c>
      <c r="C186" s="10">
        <v>58.9</v>
      </c>
      <c r="D186" s="10">
        <v>47.9</v>
      </c>
      <c r="E186" s="11" t="s">
        <v>13</v>
      </c>
      <c r="F186" s="10">
        <v>4.3</v>
      </c>
      <c r="G186" s="12">
        <v>126.408</v>
      </c>
      <c r="H186" s="12">
        <v>123.369</v>
      </c>
      <c r="I186" s="7">
        <f t="shared" si="4"/>
        <v>2.46334168227027</v>
      </c>
      <c r="J186" s="12">
        <v>18072</v>
      </c>
      <c r="K186" s="10">
        <v>7.8</v>
      </c>
      <c r="L186" s="7">
        <f t="shared" si="5"/>
        <v>40.2414129759475</v>
      </c>
    </row>
    <row r="187" ht="21" customHeight="1" spans="1:12">
      <c r="A187" s="9" t="s">
        <v>198</v>
      </c>
      <c r="B187" s="10">
        <v>60.7</v>
      </c>
      <c r="C187" s="10">
        <v>64.8</v>
      </c>
      <c r="D187" s="10">
        <v>58.1</v>
      </c>
      <c r="E187" s="11" t="s">
        <v>13</v>
      </c>
      <c r="F187" s="10">
        <v>4.1</v>
      </c>
      <c r="G187" s="12">
        <v>126.73</v>
      </c>
      <c r="H187" s="12">
        <v>123.504</v>
      </c>
      <c r="I187" s="7">
        <f t="shared" si="4"/>
        <v>2.61206114781707</v>
      </c>
      <c r="J187" s="12">
        <v>18088.6</v>
      </c>
      <c r="K187" s="10">
        <v>7.7</v>
      </c>
      <c r="L187" s="7">
        <f t="shared" si="5"/>
        <v>40.5986509274874</v>
      </c>
    </row>
    <row r="188" ht="21" customHeight="1" spans="1:12">
      <c r="A188" s="9" t="s">
        <v>199</v>
      </c>
      <c r="B188" s="10">
        <v>61.7</v>
      </c>
      <c r="C188" s="10">
        <v>68</v>
      </c>
      <c r="D188" s="10">
        <v>57.7</v>
      </c>
      <c r="E188" s="11" t="s">
        <v>13</v>
      </c>
      <c r="F188" s="10">
        <v>4.3</v>
      </c>
      <c r="G188" s="12">
        <v>126.906</v>
      </c>
      <c r="H188" s="12">
        <v>123.701</v>
      </c>
      <c r="I188" s="7">
        <f t="shared" si="4"/>
        <v>2.59092489147219</v>
      </c>
      <c r="J188" s="12">
        <v>18144.4</v>
      </c>
      <c r="K188" s="10">
        <v>7.9</v>
      </c>
      <c r="L188" s="7">
        <f t="shared" si="5"/>
        <v>40.793911422739</v>
      </c>
    </row>
    <row r="189" ht="21" customHeight="1" spans="1:12">
      <c r="A189" s="9" t="s">
        <v>200</v>
      </c>
      <c r="B189" s="10">
        <v>58.2</v>
      </c>
      <c r="C189" s="10">
        <v>61.7</v>
      </c>
      <c r="D189" s="10">
        <v>55.9</v>
      </c>
      <c r="E189" s="11" t="s">
        <v>13</v>
      </c>
      <c r="F189" s="10">
        <v>4.3</v>
      </c>
      <c r="G189" s="12">
        <v>127.229</v>
      </c>
      <c r="H189" s="12">
        <v>123.891</v>
      </c>
      <c r="I189" s="7">
        <f t="shared" si="4"/>
        <v>2.69430386388034</v>
      </c>
      <c r="J189" s="12">
        <v>18174</v>
      </c>
      <c r="K189" s="10">
        <v>8.1</v>
      </c>
      <c r="L189" s="7">
        <f t="shared" si="5"/>
        <v>41.152258808911</v>
      </c>
    </row>
    <row r="190" ht="21" customHeight="1" spans="1:12">
      <c r="A190" s="9" t="s">
        <v>201</v>
      </c>
      <c r="B190" s="10">
        <v>55.1</v>
      </c>
      <c r="C190" s="10">
        <v>60.4</v>
      </c>
      <c r="D190" s="10">
        <v>51.7</v>
      </c>
      <c r="E190" s="11" t="s">
        <v>13</v>
      </c>
      <c r="F190" s="10">
        <v>4.4</v>
      </c>
      <c r="G190" s="12">
        <v>127.601</v>
      </c>
      <c r="H190" s="12">
        <v>124.146</v>
      </c>
      <c r="I190" s="7">
        <f t="shared" si="4"/>
        <v>2.78301354856378</v>
      </c>
      <c r="J190" s="12">
        <v>18192.7</v>
      </c>
      <c r="K190" s="10">
        <v>8.1</v>
      </c>
      <c r="L190" s="7">
        <f t="shared" si="5"/>
        <v>41.5649684920565</v>
      </c>
    </row>
    <row r="191" ht="21" customHeight="1" spans="1:12">
      <c r="A191" s="9" t="s">
        <v>202</v>
      </c>
      <c r="B191" s="10">
        <v>53.6</v>
      </c>
      <c r="C191" s="10">
        <v>58.6</v>
      </c>
      <c r="D191" s="10">
        <v>50.3</v>
      </c>
      <c r="E191" s="11" t="s">
        <v>13</v>
      </c>
      <c r="F191" s="10"/>
      <c r="G191" s="12">
        <v>127.79</v>
      </c>
      <c r="H191" s="12">
        <v>124.482</v>
      </c>
      <c r="I191" s="7">
        <f t="shared" si="4"/>
        <v>2.65741231664016</v>
      </c>
      <c r="J191" s="12">
        <v>18168.4</v>
      </c>
      <c r="K191" s="10"/>
      <c r="L191" s="7">
        <f t="shared" si="5"/>
        <v>41.7746516375255</v>
      </c>
    </row>
    <row r="192" ht="21" customHeight="1" spans="1:12">
      <c r="A192" s="9" t="s">
        <v>203</v>
      </c>
      <c r="B192" s="10">
        <v>51</v>
      </c>
      <c r="C192" s="10">
        <v>51.1</v>
      </c>
      <c r="D192" s="10">
        <v>51</v>
      </c>
      <c r="E192" s="11" t="s">
        <v>13</v>
      </c>
      <c r="F192" s="10">
        <v>4.5</v>
      </c>
      <c r="G192" s="12">
        <v>128.045</v>
      </c>
      <c r="H192" s="12">
        <v>124.666</v>
      </c>
      <c r="I192" s="7">
        <f t="shared" si="4"/>
        <v>2.71044230183048</v>
      </c>
      <c r="J192" s="12">
        <v>18201.5</v>
      </c>
      <c r="K192" s="10">
        <v>8.7</v>
      </c>
      <c r="L192" s="7">
        <f t="shared" si="5"/>
        <v>42.0575574687139</v>
      </c>
    </row>
    <row r="193" ht="21" customHeight="1" spans="1:12">
      <c r="A193" s="9" t="s">
        <v>204</v>
      </c>
      <c r="B193" s="10">
        <v>52.9</v>
      </c>
      <c r="C193" s="10">
        <v>50.4</v>
      </c>
      <c r="D193" s="10">
        <v>54.6</v>
      </c>
      <c r="E193" s="11" t="s">
        <v>13</v>
      </c>
      <c r="F193" s="10">
        <v>4.4</v>
      </c>
      <c r="G193" s="12">
        <v>128.455</v>
      </c>
      <c r="H193" s="12">
        <v>124.984</v>
      </c>
      <c r="I193" s="7">
        <f t="shared" si="4"/>
        <v>2.77715547590094</v>
      </c>
      <c r="J193" s="12">
        <v>18208.6</v>
      </c>
      <c r="K193" s="10">
        <v>8.4</v>
      </c>
      <c r="L193" s="7">
        <f t="shared" si="5"/>
        <v>42.5124256678797</v>
      </c>
    </row>
    <row r="194" ht="21" customHeight="1" spans="1:12">
      <c r="A194" s="9" t="s">
        <v>205</v>
      </c>
      <c r="B194" s="10">
        <v>56.4</v>
      </c>
      <c r="C194" s="10">
        <v>55.4</v>
      </c>
      <c r="D194" s="10">
        <v>57</v>
      </c>
      <c r="E194" s="11" t="s">
        <v>13</v>
      </c>
      <c r="F194" s="10">
        <v>4.3</v>
      </c>
      <c r="G194" s="12">
        <v>128.845</v>
      </c>
      <c r="H194" s="12">
        <v>125.423</v>
      </c>
      <c r="I194" s="7">
        <f t="shared" ref="I194:I203" si="6">IF(OR(G194="",H194=""),"",100*(G194/H194-1))</f>
        <v>2.72836720537699</v>
      </c>
      <c r="J194" s="12">
        <v>18322.5</v>
      </c>
      <c r="K194" s="10">
        <v>8.1</v>
      </c>
      <c r="L194" s="7">
        <f t="shared" ref="L194:L203" si="7">IF(G194="","",100*(G194/$G$2-1))</f>
        <v>42.9451051744031</v>
      </c>
    </row>
    <row r="195" ht="21" customHeight="1" spans="1:12">
      <c r="A195" s="9" t="s">
        <v>206</v>
      </c>
      <c r="B195" s="10">
        <v>56.6</v>
      </c>
      <c r="C195" s="10">
        <v>56.6</v>
      </c>
      <c r="D195" s="10">
        <v>56.6</v>
      </c>
      <c r="E195" s="11" t="s">
        <v>13</v>
      </c>
      <c r="F195" s="10">
        <v>4.4</v>
      </c>
      <c r="G195" s="12">
        <v>129.293</v>
      </c>
      <c r="H195" s="12">
        <v>125.77</v>
      </c>
      <c r="I195" s="7">
        <f t="shared" si="6"/>
        <v>2.80114494712571</v>
      </c>
      <c r="J195" s="12">
        <v>18284.8</v>
      </c>
      <c r="K195" s="10">
        <v>7.9</v>
      </c>
      <c r="L195" s="7">
        <f t="shared" si="7"/>
        <v>43.4421318895891</v>
      </c>
    </row>
    <row r="196" ht="21" customHeight="1" spans="1:12">
      <c r="A196" s="9" t="s">
        <v>207</v>
      </c>
      <c r="B196" s="10">
        <v>53.3</v>
      </c>
      <c r="C196" s="10">
        <v>55.8</v>
      </c>
      <c r="D196" s="10">
        <v>51.7</v>
      </c>
      <c r="E196" s="11" t="s">
        <v>13</v>
      </c>
      <c r="F196" s="10">
        <v>4.3</v>
      </c>
      <c r="G196" s="12">
        <v>130.105</v>
      </c>
      <c r="H196" s="12">
        <v>125.869</v>
      </c>
      <c r="I196" s="7">
        <f t="shared" si="6"/>
        <v>3.36540371338454</v>
      </c>
      <c r="J196" s="12">
        <v>18301.6</v>
      </c>
      <c r="K196" s="10">
        <v>8</v>
      </c>
      <c r="L196" s="7">
        <f t="shared" si="7"/>
        <v>44.3429928108636</v>
      </c>
    </row>
    <row r="197" ht="21" customHeight="1" spans="1:12">
      <c r="A197" s="9" t="s">
        <v>208</v>
      </c>
      <c r="B197" s="10">
        <v>49.8</v>
      </c>
      <c r="C197" s="10">
        <v>52.5</v>
      </c>
      <c r="D197" s="10">
        <v>48.1</v>
      </c>
      <c r="E197" s="11" t="s">
        <v>13</v>
      </c>
      <c r="F197" s="10">
        <v>4.3</v>
      </c>
      <c r="G197" s="12">
        <v>130.672</v>
      </c>
      <c r="H197" s="12">
        <v>126.163</v>
      </c>
      <c r="I197" s="7">
        <f t="shared" si="6"/>
        <v>3.57394798792039</v>
      </c>
      <c r="J197" s="12">
        <v>18231.9</v>
      </c>
      <c r="K197" s="10">
        <v>8.2</v>
      </c>
      <c r="L197" s="7">
        <f t="shared" si="7"/>
        <v>44.9720422472708</v>
      </c>
    </row>
    <row r="198" ht="21" customHeight="1" spans="1:12">
      <c r="A198" s="9" t="s">
        <v>209</v>
      </c>
      <c r="B198" s="10">
        <v>44.8</v>
      </c>
      <c r="C198" s="10">
        <v>45.8</v>
      </c>
      <c r="D198" s="10">
        <v>44.1</v>
      </c>
      <c r="E198" s="11" t="s">
        <v>13</v>
      </c>
      <c r="F198" s="10">
        <v>4.3</v>
      </c>
      <c r="G198" s="12">
        <v>131.241</v>
      </c>
      <c r="H198" s="12">
        <v>126.408</v>
      </c>
      <c r="I198" s="7">
        <f t="shared" si="6"/>
        <v>3.82333396620469</v>
      </c>
      <c r="J198" s="12">
        <v>18292.8</v>
      </c>
      <c r="K198" s="10">
        <v>8.1</v>
      </c>
      <c r="L198" s="7">
        <f t="shared" si="7"/>
        <v>45.6033105529422</v>
      </c>
    </row>
    <row r="199" ht="21" customHeight="1" spans="1:12">
      <c r="A199" s="9" t="s">
        <v>210</v>
      </c>
      <c r="B199" s="10">
        <v>49.5</v>
      </c>
      <c r="C199" s="10">
        <v>47.7</v>
      </c>
      <c r="D199" s="10">
        <v>50.7</v>
      </c>
      <c r="E199" s="11" t="s">
        <v>13</v>
      </c>
      <c r="F199" s="10">
        <v>4.2</v>
      </c>
      <c r="G199" s="12">
        <v>131.106</v>
      </c>
      <c r="H199" s="12">
        <v>126.73</v>
      </c>
      <c r="I199" s="7">
        <f t="shared" si="6"/>
        <v>3.45301033693679</v>
      </c>
      <c r="J199" s="12">
        <v>18358.4</v>
      </c>
      <c r="K199" s="10">
        <v>7.9</v>
      </c>
      <c r="L199" s="7">
        <f t="shared" si="7"/>
        <v>45.4535368776072</v>
      </c>
    </row>
    <row r="200" ht="21" customHeight="1" spans="1:12">
      <c r="A200" s="9" t="s">
        <v>211</v>
      </c>
      <c r="B200" s="10">
        <v>55.2</v>
      </c>
      <c r="C200" s="10">
        <v>54.8</v>
      </c>
      <c r="D200" s="10">
        <v>55.4</v>
      </c>
      <c r="E200" s="11" t="s">
        <v>13</v>
      </c>
      <c r="F200" s="10">
        <v>4.1</v>
      </c>
      <c r="G200" s="12">
        <v>131.172</v>
      </c>
      <c r="H200" s="12">
        <v>126.906</v>
      </c>
      <c r="I200" s="7">
        <f t="shared" si="6"/>
        <v>3.3615431894473</v>
      </c>
      <c r="J200" s="12">
        <v>18415.4</v>
      </c>
      <c r="K200" s="10">
        <v>7.9</v>
      </c>
      <c r="L200" s="7">
        <f t="shared" si="7"/>
        <v>45.5267595633265</v>
      </c>
    </row>
    <row r="201" ht="21" customHeight="1" spans="1:12">
      <c r="A201" s="9" t="s">
        <v>212</v>
      </c>
      <c r="B201" s="10">
        <v>51.7</v>
      </c>
      <c r="C201" s="10">
        <v>51.9</v>
      </c>
      <c r="D201" s="10">
        <v>51.5</v>
      </c>
      <c r="E201" s="11" t="s">
        <v>13</v>
      </c>
      <c r="F201" s="10">
        <v>4.1</v>
      </c>
      <c r="G201" s="12">
        <v>131.579</v>
      </c>
      <c r="H201" s="12">
        <v>127.229</v>
      </c>
      <c r="I201" s="7">
        <f t="shared" si="6"/>
        <v>3.41903182450543</v>
      </c>
      <c r="J201" s="12">
        <v>18410.5</v>
      </c>
      <c r="K201" s="10">
        <v>7.7</v>
      </c>
      <c r="L201" s="7">
        <f t="shared" si="7"/>
        <v>45.9782994585959</v>
      </c>
    </row>
    <row r="202" ht="21" customHeight="1" spans="1:12">
      <c r="A202" s="9" t="s">
        <v>213</v>
      </c>
      <c r="B202" s="10">
        <v>48.1</v>
      </c>
      <c r="C202" s="10">
        <v>50.9</v>
      </c>
      <c r="D202" s="10">
        <v>46.3</v>
      </c>
      <c r="E202" s="11" t="s">
        <v>13</v>
      </c>
      <c r="F202" s="10">
        <v>4.2</v>
      </c>
      <c r="G202" s="12"/>
      <c r="H202" s="12">
        <v>127.601</v>
      </c>
      <c r="I202" s="7" t="str">
        <f t="shared" si="6"/>
        <v/>
      </c>
      <c r="J202" s="12"/>
      <c r="K202" s="10">
        <v>7.6</v>
      </c>
      <c r="L202" s="7" t="str">
        <f t="shared" si="7"/>
        <v/>
      </c>
    </row>
    <row r="203" ht="21" customHeight="1" spans="1:12">
      <c r="A203" s="9" t="s">
        <v>214</v>
      </c>
      <c r="B203" s="10">
        <v>46.3</v>
      </c>
      <c r="C203" s="10">
        <v>44.7</v>
      </c>
      <c r="D203" s="10">
        <v>47.3</v>
      </c>
      <c r="E203" s="11" t="s">
        <v>215</v>
      </c>
      <c r="F203" s="10"/>
      <c r="G203" s="12"/>
      <c r="H203" s="12">
        <v>127.79</v>
      </c>
      <c r="I203" s="7" t="str">
        <f t="shared" si="6"/>
        <v/>
      </c>
      <c r="J203" s="12"/>
      <c r="K203" s="10"/>
      <c r="L203" s="7" t="str">
        <f t="shared" si="7"/>
        <v/>
      </c>
    </row>
  </sheetData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45688D"/>
  </sheetPr>
  <dimension ref="A1:H67"/>
  <sheetViews>
    <sheetView showGridLines="0" workbookViewId="0">
      <pane xSplit="1" ySplit="1" topLeftCell="B2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3.5" outlineLevelCol="7"/>
  <cols>
    <col min="1" max="1" width="15" customWidth="1"/>
    <col min="2" max="2" width="13" customWidth="1"/>
    <col min="3" max="3" width="26" customWidth="1"/>
    <col min="4" max="5" width="22" customWidth="1"/>
    <col min="6" max="6" width="29" customWidth="1"/>
    <col min="7" max="7" width="31" customWidth="1"/>
    <col min="8" max="8" width="23" customWidth="1"/>
  </cols>
  <sheetData>
    <row r="1" ht="48" customHeight="1" spans="1:8">
      <c r="A1" s="1" t="s">
        <v>216</v>
      </c>
      <c r="B1" s="1" t="s">
        <v>217</v>
      </c>
      <c r="C1" s="1" t="s">
        <v>218</v>
      </c>
      <c r="D1" s="1" t="s">
        <v>219</v>
      </c>
      <c r="E1" s="1" t="s">
        <v>220</v>
      </c>
      <c r="F1" s="1" t="s">
        <v>221</v>
      </c>
      <c r="G1" s="1" t="s">
        <v>222</v>
      </c>
      <c r="H1" s="1" t="s">
        <v>223</v>
      </c>
    </row>
    <row r="2" ht="21" customHeight="1" spans="1:8">
      <c r="A2" s="5" t="s">
        <v>12</v>
      </c>
      <c r="B2" s="2" t="s">
        <v>224</v>
      </c>
      <c r="C2" s="6">
        <v>16582.71</v>
      </c>
      <c r="D2" s="6">
        <v>16502.754</v>
      </c>
      <c r="E2" s="6">
        <v>16298.262</v>
      </c>
      <c r="F2" s="7">
        <v>1.9</v>
      </c>
      <c r="G2" s="7">
        <f t="shared" ref="G2:G65" si="0">100*((C2/D2)^4-1)</f>
        <v>1.95213382057216</v>
      </c>
      <c r="H2" s="7">
        <f t="shared" ref="H2:H65" si="1">100*(C2/E2-1)</f>
        <v>1.74526584491033</v>
      </c>
    </row>
    <row r="3" ht="21" customHeight="1" spans="1:8">
      <c r="A3" s="5" t="s">
        <v>16</v>
      </c>
      <c r="B3" s="2" t="s">
        <v>225</v>
      </c>
      <c r="C3" s="6">
        <v>16743.162</v>
      </c>
      <c r="D3" s="6">
        <v>16582.71</v>
      </c>
      <c r="E3" s="6">
        <v>16269.145</v>
      </c>
      <c r="F3" s="7">
        <v>3.9</v>
      </c>
      <c r="G3" s="7">
        <f t="shared" si="0"/>
        <v>3.92688107405523</v>
      </c>
      <c r="H3" s="7">
        <f t="shared" si="1"/>
        <v>2.91359502911801</v>
      </c>
    </row>
    <row r="4" ht="21" customHeight="1" spans="1:8">
      <c r="A4" s="5" t="s">
        <v>19</v>
      </c>
      <c r="B4" s="2" t="s">
        <v>226</v>
      </c>
      <c r="C4" s="6">
        <v>16872.266</v>
      </c>
      <c r="D4" s="6">
        <v>16743.162</v>
      </c>
      <c r="E4" s="6">
        <v>16326.281</v>
      </c>
      <c r="F4" s="7">
        <v>3.1</v>
      </c>
      <c r="G4" s="7">
        <f t="shared" si="0"/>
        <v>3.1201978026195</v>
      </c>
      <c r="H4" s="7">
        <f t="shared" si="1"/>
        <v>3.34420925377923</v>
      </c>
    </row>
    <row r="5" ht="21" customHeight="1" spans="1:8">
      <c r="A5" s="5" t="s">
        <v>22</v>
      </c>
      <c r="B5" s="2" t="s">
        <v>227</v>
      </c>
      <c r="C5" s="6">
        <v>16960.864</v>
      </c>
      <c r="D5" s="6">
        <v>16872.266</v>
      </c>
      <c r="E5" s="6">
        <v>16502.754</v>
      </c>
      <c r="F5" s="7">
        <v>2.1</v>
      </c>
      <c r="G5" s="7">
        <f t="shared" si="0"/>
        <v>2.11704348422841</v>
      </c>
      <c r="H5" s="7">
        <f t="shared" si="1"/>
        <v>2.77596090931247</v>
      </c>
    </row>
    <row r="6" ht="21" customHeight="1" spans="1:8">
      <c r="A6" s="5" t="s">
        <v>25</v>
      </c>
      <c r="B6" s="2" t="s">
        <v>228</v>
      </c>
      <c r="C6" s="6">
        <v>16920.632</v>
      </c>
      <c r="D6" s="6">
        <v>16960.864</v>
      </c>
      <c r="E6" s="6">
        <v>16582.71</v>
      </c>
      <c r="F6" s="7">
        <v>-0.9</v>
      </c>
      <c r="G6" s="7">
        <f t="shared" si="0"/>
        <v>-0.945448954121197</v>
      </c>
      <c r="H6" s="7">
        <f t="shared" si="1"/>
        <v>2.03779719961334</v>
      </c>
    </row>
    <row r="7" ht="21" customHeight="1" spans="1:8">
      <c r="A7" s="5" t="s">
        <v>28</v>
      </c>
      <c r="B7" s="2" t="s">
        <v>229</v>
      </c>
      <c r="C7" s="6">
        <v>17035.114</v>
      </c>
      <c r="D7" s="6">
        <v>16920.632</v>
      </c>
      <c r="E7" s="6">
        <v>16743.162</v>
      </c>
      <c r="F7" s="7">
        <v>2.7</v>
      </c>
      <c r="G7" s="7">
        <f t="shared" si="0"/>
        <v>2.73391908398424</v>
      </c>
      <c r="H7" s="7">
        <f t="shared" si="1"/>
        <v>1.7437088645502</v>
      </c>
    </row>
    <row r="8" ht="21" customHeight="1" spans="1:8">
      <c r="A8" s="5" t="s">
        <v>31</v>
      </c>
      <c r="B8" s="2" t="s">
        <v>230</v>
      </c>
      <c r="C8" s="6">
        <v>17031.313</v>
      </c>
      <c r="D8" s="6">
        <v>17035.114</v>
      </c>
      <c r="E8" s="6">
        <v>16872.266</v>
      </c>
      <c r="F8" s="7">
        <v>-0.1</v>
      </c>
      <c r="G8" s="7">
        <f t="shared" si="0"/>
        <v>-0.0892210766206936</v>
      </c>
      <c r="H8" s="7">
        <f t="shared" si="1"/>
        <v>0.942653464567234</v>
      </c>
    </row>
    <row r="9" ht="21" customHeight="1" spans="1:8">
      <c r="A9" s="5" t="s">
        <v>34</v>
      </c>
      <c r="B9" s="2" t="s">
        <v>231</v>
      </c>
      <c r="C9" s="6">
        <v>17222.583</v>
      </c>
      <c r="D9" s="6">
        <v>17031.313</v>
      </c>
      <c r="E9" s="6">
        <v>16960.864</v>
      </c>
      <c r="F9" s="7">
        <v>4.6</v>
      </c>
      <c r="G9" s="7">
        <f t="shared" si="0"/>
        <v>4.56843874217969</v>
      </c>
      <c r="H9" s="7">
        <f t="shared" si="1"/>
        <v>1.54307587160651</v>
      </c>
    </row>
    <row r="10" ht="21" customHeight="1" spans="1:8">
      <c r="A10" s="5" t="s">
        <v>37</v>
      </c>
      <c r="B10" s="2" t="s">
        <v>232</v>
      </c>
      <c r="C10" s="6">
        <v>17367.01</v>
      </c>
      <c r="D10" s="6">
        <v>17222.583</v>
      </c>
      <c r="E10" s="6">
        <v>16920.632</v>
      </c>
      <c r="F10" s="7">
        <v>3.4</v>
      </c>
      <c r="G10" s="7">
        <f t="shared" si="0"/>
        <v>3.39679373864559</v>
      </c>
      <c r="H10" s="7">
        <f t="shared" si="1"/>
        <v>2.63806931088624</v>
      </c>
    </row>
    <row r="11" ht="21" customHeight="1" spans="1:8">
      <c r="A11" s="5" t="s">
        <v>40</v>
      </c>
      <c r="B11" s="2" t="s">
        <v>233</v>
      </c>
      <c r="C11" s="6">
        <v>17444.525</v>
      </c>
      <c r="D11" s="6">
        <v>17367.01</v>
      </c>
      <c r="E11" s="6">
        <v>17035.114</v>
      </c>
      <c r="F11" s="7">
        <v>1.8</v>
      </c>
      <c r="G11" s="7">
        <f t="shared" si="0"/>
        <v>1.79732747326384</v>
      </c>
      <c r="H11" s="7">
        <f t="shared" si="1"/>
        <v>2.40333583913792</v>
      </c>
    </row>
    <row r="12" ht="21" customHeight="1" spans="1:8">
      <c r="A12" s="5" t="s">
        <v>43</v>
      </c>
      <c r="B12" s="2" t="s">
        <v>234</v>
      </c>
      <c r="C12" s="6">
        <v>17469.65</v>
      </c>
      <c r="D12" s="6">
        <v>17444.525</v>
      </c>
      <c r="E12" s="6">
        <v>17031.313</v>
      </c>
      <c r="F12" s="7">
        <v>0.6</v>
      </c>
      <c r="G12" s="7">
        <f t="shared" si="0"/>
        <v>0.577357828653247</v>
      </c>
      <c r="H12" s="7">
        <f t="shared" si="1"/>
        <v>2.57371231448804</v>
      </c>
    </row>
    <row r="13" ht="21" customHeight="1" spans="1:8">
      <c r="A13" s="5" t="s">
        <v>46</v>
      </c>
      <c r="B13" s="2" t="s">
        <v>235</v>
      </c>
      <c r="C13" s="6">
        <v>17489.852</v>
      </c>
      <c r="D13" s="6">
        <v>17469.65</v>
      </c>
      <c r="E13" s="6">
        <v>17222.583</v>
      </c>
      <c r="F13" s="7">
        <v>0.5</v>
      </c>
      <c r="G13" s="7">
        <f t="shared" si="0"/>
        <v>0.463365198053056</v>
      </c>
      <c r="H13" s="7">
        <f t="shared" si="1"/>
        <v>1.55185200733248</v>
      </c>
    </row>
    <row r="14" ht="21" customHeight="1" spans="1:8">
      <c r="A14" s="5" t="s">
        <v>49</v>
      </c>
      <c r="B14" s="2" t="s">
        <v>236</v>
      </c>
      <c r="C14" s="6">
        <v>17662.4</v>
      </c>
      <c r="D14" s="6">
        <v>17489.852</v>
      </c>
      <c r="E14" s="6">
        <v>17367.01</v>
      </c>
      <c r="F14" s="7">
        <v>4</v>
      </c>
      <c r="G14" s="7">
        <f t="shared" si="0"/>
        <v>4.00502580794566</v>
      </c>
      <c r="H14" s="7">
        <f t="shared" si="1"/>
        <v>1.70086848570943</v>
      </c>
    </row>
    <row r="15" ht="21" customHeight="1" spans="1:8">
      <c r="A15" s="5" t="s">
        <v>52</v>
      </c>
      <c r="B15" s="2" t="s">
        <v>237</v>
      </c>
      <c r="C15" s="6">
        <v>17709.671</v>
      </c>
      <c r="D15" s="6">
        <v>17662.4</v>
      </c>
      <c r="E15" s="6">
        <v>17444.525</v>
      </c>
      <c r="F15" s="7">
        <v>1.1</v>
      </c>
      <c r="G15" s="7">
        <f t="shared" si="0"/>
        <v>1.07485076507663</v>
      </c>
      <c r="H15" s="7">
        <f t="shared" si="1"/>
        <v>1.51993820410701</v>
      </c>
    </row>
    <row r="16" ht="21" customHeight="1" spans="1:8">
      <c r="A16" s="5" t="s">
        <v>55</v>
      </c>
      <c r="B16" s="2" t="s">
        <v>238</v>
      </c>
      <c r="C16" s="6">
        <v>17860.45</v>
      </c>
      <c r="D16" s="6">
        <v>17709.671</v>
      </c>
      <c r="E16" s="6">
        <v>17469.65</v>
      </c>
      <c r="F16" s="7">
        <v>3.5</v>
      </c>
      <c r="G16" s="7">
        <f t="shared" si="0"/>
        <v>3.44931392255059</v>
      </c>
      <c r="H16" s="7">
        <f t="shared" si="1"/>
        <v>2.23702249329552</v>
      </c>
    </row>
    <row r="17" ht="21" customHeight="1" spans="1:8">
      <c r="A17" s="5" t="s">
        <v>58</v>
      </c>
      <c r="B17" s="2" t="s">
        <v>239</v>
      </c>
      <c r="C17" s="6">
        <v>18016.147</v>
      </c>
      <c r="D17" s="6">
        <v>17860.45</v>
      </c>
      <c r="E17" s="6">
        <v>17489.852</v>
      </c>
      <c r="F17" s="7">
        <v>3.5</v>
      </c>
      <c r="G17" s="7">
        <f t="shared" si="0"/>
        <v>3.53282859865744</v>
      </c>
      <c r="H17" s="7">
        <f t="shared" si="1"/>
        <v>3.00914496017464</v>
      </c>
    </row>
    <row r="18" ht="21" customHeight="1" spans="1:8">
      <c r="A18" s="5" t="s">
        <v>61</v>
      </c>
      <c r="B18" s="2" t="s">
        <v>240</v>
      </c>
      <c r="C18" s="6">
        <v>17953.974</v>
      </c>
      <c r="D18" s="6">
        <v>18016.147</v>
      </c>
      <c r="E18" s="6">
        <v>17662.4</v>
      </c>
      <c r="F18" s="7">
        <v>-1.4</v>
      </c>
      <c r="G18" s="7">
        <f t="shared" si="0"/>
        <v>-1.37325489177618</v>
      </c>
      <c r="H18" s="7">
        <f t="shared" si="1"/>
        <v>1.65081755593801</v>
      </c>
    </row>
    <row r="19" ht="21" customHeight="1" spans="1:8">
      <c r="A19" s="5" t="s">
        <v>64</v>
      </c>
      <c r="B19" s="2" t="s">
        <v>241</v>
      </c>
      <c r="C19" s="6">
        <v>18185.911</v>
      </c>
      <c r="D19" s="6">
        <v>17953.974</v>
      </c>
      <c r="E19" s="6">
        <v>17709.671</v>
      </c>
      <c r="F19" s="7">
        <v>5.3</v>
      </c>
      <c r="G19" s="7">
        <f t="shared" si="0"/>
        <v>5.26836502658266</v>
      </c>
      <c r="H19" s="7">
        <f t="shared" si="1"/>
        <v>2.68915215872729</v>
      </c>
    </row>
    <row r="20" ht="21" customHeight="1" spans="1:8">
      <c r="A20" s="5" t="s">
        <v>67</v>
      </c>
      <c r="B20" s="2" t="s">
        <v>242</v>
      </c>
      <c r="C20" s="6">
        <v>18406.941</v>
      </c>
      <c r="D20" s="6">
        <v>18185.911</v>
      </c>
      <c r="E20" s="6">
        <v>17860.45</v>
      </c>
      <c r="F20" s="7">
        <v>5</v>
      </c>
      <c r="G20" s="7">
        <f t="shared" si="0"/>
        <v>4.95091653493063</v>
      </c>
      <c r="H20" s="7">
        <f t="shared" si="1"/>
        <v>3.05978292820168</v>
      </c>
    </row>
    <row r="21" ht="21" customHeight="1" spans="1:8">
      <c r="A21" s="5" t="s">
        <v>70</v>
      </c>
      <c r="B21" s="2" t="s">
        <v>243</v>
      </c>
      <c r="C21" s="6">
        <v>18500.031</v>
      </c>
      <c r="D21" s="6">
        <v>18406.941</v>
      </c>
      <c r="E21" s="6">
        <v>18016.147</v>
      </c>
      <c r="F21" s="7">
        <v>2</v>
      </c>
      <c r="G21" s="7">
        <f t="shared" si="0"/>
        <v>2.03833031030578</v>
      </c>
      <c r="H21" s="7">
        <f t="shared" si="1"/>
        <v>2.68583510114564</v>
      </c>
    </row>
    <row r="22" ht="21" customHeight="1" spans="1:8">
      <c r="A22" s="5" t="s">
        <v>73</v>
      </c>
      <c r="B22" s="2" t="s">
        <v>244</v>
      </c>
      <c r="C22" s="6">
        <v>18666.621</v>
      </c>
      <c r="D22" s="6">
        <v>18500.031</v>
      </c>
      <c r="E22" s="6">
        <v>17953.974</v>
      </c>
      <c r="F22" s="7">
        <v>3.6</v>
      </c>
      <c r="G22" s="7">
        <f t="shared" si="0"/>
        <v>3.65088503111977</v>
      </c>
      <c r="H22" s="7">
        <f t="shared" si="1"/>
        <v>3.96929949881848</v>
      </c>
    </row>
    <row r="23" ht="21" customHeight="1" spans="1:8">
      <c r="A23" s="5" t="s">
        <v>76</v>
      </c>
      <c r="B23" s="2" t="s">
        <v>245</v>
      </c>
      <c r="C23" s="6">
        <v>18782.243</v>
      </c>
      <c r="D23" s="6">
        <v>18666.621</v>
      </c>
      <c r="E23" s="6">
        <v>18185.911</v>
      </c>
      <c r="F23" s="7">
        <v>2.5</v>
      </c>
      <c r="G23" s="7">
        <f t="shared" si="0"/>
        <v>2.50073531096431</v>
      </c>
      <c r="H23" s="7">
        <f t="shared" si="1"/>
        <v>3.27908786092705</v>
      </c>
    </row>
    <row r="24" ht="21" customHeight="1" spans="1:8">
      <c r="A24" s="5" t="s">
        <v>79</v>
      </c>
      <c r="B24" s="2" t="s">
        <v>246</v>
      </c>
      <c r="C24" s="6">
        <v>18857.418</v>
      </c>
      <c r="D24" s="6">
        <v>18782.243</v>
      </c>
      <c r="E24" s="6">
        <v>18406.941</v>
      </c>
      <c r="F24" s="7">
        <v>1.6</v>
      </c>
      <c r="G24" s="7">
        <f t="shared" si="0"/>
        <v>1.61061768429811</v>
      </c>
      <c r="H24" s="7">
        <f t="shared" si="1"/>
        <v>2.44732136643455</v>
      </c>
    </row>
    <row r="25" ht="21" customHeight="1" spans="1:8">
      <c r="A25" s="5" t="s">
        <v>82</v>
      </c>
      <c r="B25" s="2" t="s">
        <v>247</v>
      </c>
      <c r="C25" s="6">
        <v>18892.206</v>
      </c>
      <c r="D25" s="6">
        <v>18857.418</v>
      </c>
      <c r="E25" s="6">
        <v>18500.031</v>
      </c>
      <c r="F25" s="7">
        <v>0.7</v>
      </c>
      <c r="G25" s="7">
        <f t="shared" si="0"/>
        <v>0.739960971216735</v>
      </c>
      <c r="H25" s="7">
        <f t="shared" si="1"/>
        <v>2.11986131266482</v>
      </c>
    </row>
    <row r="26" ht="21" customHeight="1" spans="1:8">
      <c r="A26" s="5" t="s">
        <v>85</v>
      </c>
      <c r="B26" s="2" t="s">
        <v>248</v>
      </c>
      <c r="C26" s="6">
        <v>19001.69</v>
      </c>
      <c r="D26" s="6">
        <v>18892.206</v>
      </c>
      <c r="E26" s="6">
        <v>18666.621</v>
      </c>
      <c r="F26" s="7">
        <v>2.3</v>
      </c>
      <c r="G26" s="7">
        <f t="shared" si="0"/>
        <v>2.33830615244393</v>
      </c>
      <c r="H26" s="7">
        <f t="shared" si="1"/>
        <v>1.7950168913806</v>
      </c>
    </row>
    <row r="27" ht="21" customHeight="1" spans="1:8">
      <c r="A27" s="5" t="s">
        <v>88</v>
      </c>
      <c r="B27" s="2" t="s">
        <v>249</v>
      </c>
      <c r="C27" s="6">
        <v>19062.709</v>
      </c>
      <c r="D27" s="6">
        <v>19001.69</v>
      </c>
      <c r="E27" s="6">
        <v>18782.243</v>
      </c>
      <c r="F27" s="7">
        <v>1.3</v>
      </c>
      <c r="G27" s="7">
        <f t="shared" si="0"/>
        <v>1.29069677023745</v>
      </c>
      <c r="H27" s="7">
        <f t="shared" si="1"/>
        <v>1.49325083271472</v>
      </c>
    </row>
    <row r="28" ht="21" customHeight="1" spans="1:8">
      <c r="A28" s="5" t="s">
        <v>91</v>
      </c>
      <c r="B28" s="2" t="s">
        <v>250</v>
      </c>
      <c r="C28" s="6">
        <v>19197.938</v>
      </c>
      <c r="D28" s="6">
        <v>19062.709</v>
      </c>
      <c r="E28" s="6">
        <v>18857.418</v>
      </c>
      <c r="F28" s="7">
        <v>2.9</v>
      </c>
      <c r="G28" s="7">
        <f t="shared" si="0"/>
        <v>2.86789814146935</v>
      </c>
      <c r="H28" s="7">
        <f t="shared" si="1"/>
        <v>1.80576153108551</v>
      </c>
    </row>
    <row r="29" ht="21" customHeight="1" spans="1:8">
      <c r="A29" s="5" t="s">
        <v>94</v>
      </c>
      <c r="B29" s="2" t="s">
        <v>251</v>
      </c>
      <c r="C29" s="6">
        <v>19304.352</v>
      </c>
      <c r="D29" s="6">
        <v>19197.938</v>
      </c>
      <c r="E29" s="6">
        <v>18892.206</v>
      </c>
      <c r="F29" s="7">
        <v>2.2</v>
      </c>
      <c r="G29" s="7">
        <f t="shared" si="0"/>
        <v>2.2356995185866</v>
      </c>
      <c r="H29" s="7">
        <f t="shared" si="1"/>
        <v>2.18156630305641</v>
      </c>
    </row>
    <row r="30" ht="21" customHeight="1" spans="1:8">
      <c r="A30" s="5" t="s">
        <v>97</v>
      </c>
      <c r="B30" s="2" t="s">
        <v>252</v>
      </c>
      <c r="C30" s="6">
        <v>19398.343</v>
      </c>
      <c r="D30" s="6">
        <v>19304.352</v>
      </c>
      <c r="E30" s="6">
        <v>19001.69</v>
      </c>
      <c r="F30" s="7">
        <v>2</v>
      </c>
      <c r="G30" s="7">
        <f t="shared" si="0"/>
        <v>1.96183079024523</v>
      </c>
      <c r="H30" s="7">
        <f t="shared" si="1"/>
        <v>2.08746169419669</v>
      </c>
    </row>
    <row r="31" ht="21" customHeight="1" spans="1:8">
      <c r="A31" s="5" t="s">
        <v>100</v>
      </c>
      <c r="B31" s="2" t="s">
        <v>253</v>
      </c>
      <c r="C31" s="6">
        <v>19506.949</v>
      </c>
      <c r="D31" s="6">
        <v>19398.343</v>
      </c>
      <c r="E31" s="6">
        <v>19062.709</v>
      </c>
      <c r="F31" s="7">
        <v>2.3</v>
      </c>
      <c r="G31" s="7">
        <f t="shared" si="0"/>
        <v>2.25836798311523</v>
      </c>
      <c r="H31" s="7">
        <f t="shared" si="1"/>
        <v>2.33041379375829</v>
      </c>
    </row>
    <row r="32" ht="21" customHeight="1" spans="1:8">
      <c r="A32" s="5" t="s">
        <v>103</v>
      </c>
      <c r="B32" s="2" t="s">
        <v>254</v>
      </c>
      <c r="C32" s="6">
        <v>19660.766</v>
      </c>
      <c r="D32" s="6">
        <v>19506.949</v>
      </c>
      <c r="E32" s="6">
        <v>19197.938</v>
      </c>
      <c r="F32" s="7">
        <v>3.2</v>
      </c>
      <c r="G32" s="7">
        <f t="shared" si="0"/>
        <v>3.19159923944063</v>
      </c>
      <c r="H32" s="7">
        <f t="shared" si="1"/>
        <v>2.41082141217459</v>
      </c>
    </row>
    <row r="33" ht="21" customHeight="1" spans="1:8">
      <c r="A33" s="5" t="s">
        <v>106</v>
      </c>
      <c r="B33" s="2" t="s">
        <v>255</v>
      </c>
      <c r="C33" s="6">
        <v>19882.352</v>
      </c>
      <c r="D33" s="6">
        <v>19660.766</v>
      </c>
      <c r="E33" s="6">
        <v>19304.352</v>
      </c>
      <c r="F33" s="7">
        <v>4.6</v>
      </c>
      <c r="G33" s="7">
        <f t="shared" si="0"/>
        <v>4.58497481172906</v>
      </c>
      <c r="H33" s="7">
        <f t="shared" si="1"/>
        <v>2.99414349676177</v>
      </c>
    </row>
    <row r="34" ht="21" customHeight="1" spans="1:8">
      <c r="A34" s="5" t="s">
        <v>109</v>
      </c>
      <c r="B34" s="2" t="s">
        <v>256</v>
      </c>
      <c r="C34" s="6">
        <v>20044.077</v>
      </c>
      <c r="D34" s="6">
        <v>19882.352</v>
      </c>
      <c r="E34" s="6">
        <v>19398.343</v>
      </c>
      <c r="F34" s="7">
        <v>3.3</v>
      </c>
      <c r="G34" s="7">
        <f t="shared" si="0"/>
        <v>3.29355304769834</v>
      </c>
      <c r="H34" s="7">
        <f t="shared" si="1"/>
        <v>3.32881009475912</v>
      </c>
    </row>
    <row r="35" ht="21" customHeight="1" spans="1:8">
      <c r="A35" s="5" t="s">
        <v>112</v>
      </c>
      <c r="B35" s="2" t="s">
        <v>257</v>
      </c>
      <c r="C35" s="6">
        <v>20150.476</v>
      </c>
      <c r="D35" s="6">
        <v>20044.077</v>
      </c>
      <c r="E35" s="6">
        <v>19506.949</v>
      </c>
      <c r="F35" s="7">
        <v>2.1</v>
      </c>
      <c r="G35" s="7">
        <f t="shared" si="0"/>
        <v>2.14026699264089</v>
      </c>
      <c r="H35" s="7">
        <f t="shared" si="1"/>
        <v>3.29896284652202</v>
      </c>
    </row>
    <row r="36" ht="21" customHeight="1" spans="1:8">
      <c r="A36" s="5" t="s">
        <v>115</v>
      </c>
      <c r="B36" s="2" t="s">
        <v>258</v>
      </c>
      <c r="C36" s="6">
        <v>20276.154</v>
      </c>
      <c r="D36" s="6">
        <v>20150.476</v>
      </c>
      <c r="E36" s="6">
        <v>19660.766</v>
      </c>
      <c r="F36" s="7">
        <v>2.5</v>
      </c>
      <c r="G36" s="7">
        <f t="shared" si="0"/>
        <v>2.5182268082057</v>
      </c>
      <c r="H36" s="7">
        <f t="shared" si="1"/>
        <v>3.13003064071868</v>
      </c>
    </row>
    <row r="37" ht="21" customHeight="1" spans="1:8">
      <c r="A37" s="5" t="s">
        <v>118</v>
      </c>
      <c r="B37" s="2" t="s">
        <v>259</v>
      </c>
      <c r="C37" s="6">
        <v>20304.874</v>
      </c>
      <c r="D37" s="6">
        <v>20276.154</v>
      </c>
      <c r="E37" s="6">
        <v>19882.352</v>
      </c>
      <c r="F37" s="7">
        <v>0.6</v>
      </c>
      <c r="G37" s="7">
        <f t="shared" si="0"/>
        <v>0.567781798681888</v>
      </c>
      <c r="H37" s="7">
        <f t="shared" si="1"/>
        <v>2.12511075148454</v>
      </c>
    </row>
    <row r="38" ht="21" customHeight="1" spans="1:8">
      <c r="A38" s="5" t="s">
        <v>121</v>
      </c>
      <c r="B38" s="2" t="s">
        <v>260</v>
      </c>
      <c r="C38" s="6">
        <v>20431.641</v>
      </c>
      <c r="D38" s="6">
        <v>20304.874</v>
      </c>
      <c r="E38" s="6">
        <v>20044.077</v>
      </c>
      <c r="F38" s="7">
        <v>2.5</v>
      </c>
      <c r="G38" s="7">
        <f t="shared" si="0"/>
        <v>2.52075620274343</v>
      </c>
      <c r="H38" s="7">
        <f t="shared" si="1"/>
        <v>1.93355872660037</v>
      </c>
    </row>
    <row r="39" ht="21" customHeight="1" spans="1:8">
      <c r="A39" s="5" t="s">
        <v>124</v>
      </c>
      <c r="B39" s="2" t="s">
        <v>261</v>
      </c>
      <c r="C39" s="6">
        <v>20602.275</v>
      </c>
      <c r="D39" s="6">
        <v>20431.641</v>
      </c>
      <c r="E39" s="6">
        <v>20150.476</v>
      </c>
      <c r="F39" s="7">
        <v>3.4</v>
      </c>
      <c r="G39" s="7">
        <f t="shared" si="0"/>
        <v>3.38266495900359</v>
      </c>
      <c r="H39" s="7">
        <f t="shared" si="1"/>
        <v>2.24212569469824</v>
      </c>
    </row>
    <row r="40" ht="21" customHeight="1" spans="1:8">
      <c r="A40" s="5" t="s">
        <v>127</v>
      </c>
      <c r="B40" s="2" t="s">
        <v>262</v>
      </c>
      <c r="C40" s="6">
        <v>20843.322</v>
      </c>
      <c r="D40" s="6">
        <v>20602.275</v>
      </c>
      <c r="E40" s="6">
        <v>20276.154</v>
      </c>
      <c r="F40" s="7">
        <v>4.8</v>
      </c>
      <c r="G40" s="7">
        <f t="shared" si="0"/>
        <v>4.76278420917873</v>
      </c>
      <c r="H40" s="7">
        <f t="shared" si="1"/>
        <v>2.79721686864285</v>
      </c>
    </row>
    <row r="41" ht="21" customHeight="1" spans="1:8">
      <c r="A41" s="5" t="s">
        <v>130</v>
      </c>
      <c r="B41" s="2" t="s">
        <v>263</v>
      </c>
      <c r="C41" s="6">
        <v>20985.448</v>
      </c>
      <c r="D41" s="6">
        <v>20843.322</v>
      </c>
      <c r="E41" s="6">
        <v>20304.874</v>
      </c>
      <c r="F41" s="7">
        <v>2.8</v>
      </c>
      <c r="G41" s="7">
        <f t="shared" si="0"/>
        <v>2.75553595785465</v>
      </c>
      <c r="H41" s="7">
        <f t="shared" si="1"/>
        <v>3.35177652419809</v>
      </c>
    </row>
    <row r="42" ht="21" customHeight="1" spans="1:8">
      <c r="A42" s="5" t="s">
        <v>133</v>
      </c>
      <c r="B42" s="2" t="s">
        <v>264</v>
      </c>
      <c r="C42" s="6">
        <v>20709.212</v>
      </c>
      <c r="D42" s="6">
        <v>20985.448</v>
      </c>
      <c r="E42" s="6">
        <v>20431.641</v>
      </c>
      <c r="F42" s="7">
        <v>-5.2</v>
      </c>
      <c r="G42" s="7">
        <f t="shared" si="0"/>
        <v>-5.16223383893778</v>
      </c>
      <c r="H42" s="7">
        <f t="shared" si="1"/>
        <v>1.35853502907572</v>
      </c>
    </row>
    <row r="43" ht="21" customHeight="1" spans="1:8">
      <c r="A43" s="5" t="s">
        <v>136</v>
      </c>
      <c r="B43" s="2" t="s">
        <v>265</v>
      </c>
      <c r="C43" s="6">
        <v>19077.992</v>
      </c>
      <c r="D43" s="6">
        <v>20709.212</v>
      </c>
      <c r="E43" s="6">
        <v>20602.275</v>
      </c>
      <c r="F43" s="7">
        <v>-28</v>
      </c>
      <c r="G43" s="7">
        <f t="shared" si="0"/>
        <v>-27.9761465671904</v>
      </c>
      <c r="H43" s="7">
        <f t="shared" si="1"/>
        <v>-7.39861495878491</v>
      </c>
    </row>
    <row r="44" ht="21" customHeight="1" spans="1:8">
      <c r="A44" s="5" t="s">
        <v>139</v>
      </c>
      <c r="B44" s="2" t="s">
        <v>266</v>
      </c>
      <c r="C44" s="6">
        <v>20558.879</v>
      </c>
      <c r="D44" s="6">
        <v>19077.992</v>
      </c>
      <c r="E44" s="6">
        <v>20843.322</v>
      </c>
      <c r="F44" s="7">
        <v>34.9</v>
      </c>
      <c r="G44" s="7">
        <f t="shared" si="0"/>
        <v>34.8550059746765</v>
      </c>
      <c r="H44" s="7">
        <f t="shared" si="1"/>
        <v>-1.36467209977372</v>
      </c>
    </row>
    <row r="45" ht="21" customHeight="1" spans="1:8">
      <c r="A45" s="5" t="s">
        <v>142</v>
      </c>
      <c r="B45" s="2" t="s">
        <v>267</v>
      </c>
      <c r="C45" s="6">
        <v>20791.917</v>
      </c>
      <c r="D45" s="6">
        <v>20558.879</v>
      </c>
      <c r="E45" s="6">
        <v>20985.448</v>
      </c>
      <c r="F45" s="7">
        <v>4.6</v>
      </c>
      <c r="G45" s="7">
        <f t="shared" si="0"/>
        <v>4.61173604461571</v>
      </c>
      <c r="H45" s="7">
        <f t="shared" si="1"/>
        <v>-0.92221524172369</v>
      </c>
    </row>
    <row r="46" ht="21" customHeight="1" spans="1:8">
      <c r="A46" s="5" t="s">
        <v>145</v>
      </c>
      <c r="B46" s="2" t="s">
        <v>268</v>
      </c>
      <c r="C46" s="6">
        <v>21106.619</v>
      </c>
      <c r="D46" s="6">
        <v>20791.917</v>
      </c>
      <c r="E46" s="6">
        <v>20709.212</v>
      </c>
      <c r="F46" s="7">
        <v>6.2</v>
      </c>
      <c r="G46" s="7">
        <f t="shared" si="0"/>
        <v>6.19316172850435</v>
      </c>
      <c r="H46" s="7">
        <f t="shared" si="1"/>
        <v>1.91898658432779</v>
      </c>
    </row>
    <row r="47" ht="21" customHeight="1" spans="1:8">
      <c r="A47" s="5" t="s">
        <v>148</v>
      </c>
      <c r="B47" s="2" t="s">
        <v>269</v>
      </c>
      <c r="C47" s="6">
        <v>21474.077</v>
      </c>
      <c r="D47" s="6">
        <v>21106.619</v>
      </c>
      <c r="E47" s="6">
        <v>19077.992</v>
      </c>
      <c r="F47" s="7">
        <v>7.1</v>
      </c>
      <c r="G47" s="7">
        <f t="shared" si="0"/>
        <v>7.14782049784122</v>
      </c>
      <c r="H47" s="7">
        <f t="shared" si="1"/>
        <v>12.5594192512503</v>
      </c>
    </row>
    <row r="48" ht="21" customHeight="1" spans="1:8">
      <c r="A48" s="5" t="s">
        <v>151</v>
      </c>
      <c r="B48" s="2" t="s">
        <v>270</v>
      </c>
      <c r="C48" s="6">
        <v>21641.672</v>
      </c>
      <c r="D48" s="6">
        <v>21474.077</v>
      </c>
      <c r="E48" s="6">
        <v>20558.879</v>
      </c>
      <c r="F48" s="7">
        <v>3.2</v>
      </c>
      <c r="G48" s="7">
        <f t="shared" si="0"/>
        <v>3.15854744542468</v>
      </c>
      <c r="H48" s="7">
        <f t="shared" si="1"/>
        <v>5.26679008130744</v>
      </c>
    </row>
    <row r="49" ht="21" customHeight="1" spans="1:8">
      <c r="A49" s="5" t="s">
        <v>154</v>
      </c>
      <c r="B49" s="2" t="s">
        <v>271</v>
      </c>
      <c r="C49" s="6">
        <v>22001.64</v>
      </c>
      <c r="D49" s="6">
        <v>21641.672</v>
      </c>
      <c r="E49" s="6">
        <v>20791.917</v>
      </c>
      <c r="F49" s="7">
        <v>6.8</v>
      </c>
      <c r="G49" s="7">
        <f t="shared" si="0"/>
        <v>6.82108251284215</v>
      </c>
      <c r="H49" s="7">
        <f t="shared" si="1"/>
        <v>5.81823696198864</v>
      </c>
    </row>
    <row r="50" ht="21" customHeight="1" spans="1:8">
      <c r="A50" s="5" t="s">
        <v>157</v>
      </c>
      <c r="B50" s="2" t="s">
        <v>272</v>
      </c>
      <c r="C50" s="6">
        <v>21945.682</v>
      </c>
      <c r="D50" s="6">
        <v>22001.64</v>
      </c>
      <c r="E50" s="6">
        <v>21106.619</v>
      </c>
      <c r="F50" s="7">
        <v>-1</v>
      </c>
      <c r="G50" s="7">
        <f t="shared" si="0"/>
        <v>-1.01346772481203</v>
      </c>
      <c r="H50" s="7">
        <f t="shared" si="1"/>
        <v>3.97535484010965</v>
      </c>
    </row>
    <row r="51" ht="21" customHeight="1" spans="1:8">
      <c r="A51" s="5" t="s">
        <v>160</v>
      </c>
      <c r="B51" s="2" t="s">
        <v>273</v>
      </c>
      <c r="C51" s="6">
        <v>21976.292</v>
      </c>
      <c r="D51" s="6">
        <v>21945.682</v>
      </c>
      <c r="E51" s="6">
        <v>21474.077</v>
      </c>
      <c r="F51" s="7">
        <v>0.6</v>
      </c>
      <c r="G51" s="7">
        <f t="shared" si="0"/>
        <v>0.559091344796547</v>
      </c>
      <c r="H51" s="7">
        <f t="shared" si="1"/>
        <v>2.33870354474375</v>
      </c>
    </row>
    <row r="52" ht="21" customHeight="1" spans="1:8">
      <c r="A52" s="5" t="s">
        <v>163</v>
      </c>
      <c r="B52" s="2" t="s">
        <v>274</v>
      </c>
      <c r="C52" s="6">
        <v>22124.384</v>
      </c>
      <c r="D52" s="6">
        <v>21976.292</v>
      </c>
      <c r="E52" s="6">
        <v>21641.672</v>
      </c>
      <c r="F52" s="7">
        <v>2.7</v>
      </c>
      <c r="G52" s="7">
        <f t="shared" si="0"/>
        <v>2.72285536107624</v>
      </c>
      <c r="H52" s="7">
        <f t="shared" si="1"/>
        <v>2.23047461397623</v>
      </c>
    </row>
    <row r="53" ht="21" customHeight="1" spans="1:8">
      <c r="A53" s="5" t="s">
        <v>166</v>
      </c>
      <c r="B53" s="2" t="s">
        <v>275</v>
      </c>
      <c r="C53" s="6">
        <v>22272.546</v>
      </c>
      <c r="D53" s="6">
        <v>22124.384</v>
      </c>
      <c r="E53" s="6">
        <v>22001.64</v>
      </c>
      <c r="F53" s="7">
        <v>2.7</v>
      </c>
      <c r="G53" s="7">
        <f t="shared" si="0"/>
        <v>2.70573801036931</v>
      </c>
      <c r="H53" s="7">
        <f t="shared" si="1"/>
        <v>1.23129912133821</v>
      </c>
    </row>
    <row r="54" ht="21" customHeight="1" spans="1:8">
      <c r="A54" s="5" t="s">
        <v>169</v>
      </c>
      <c r="B54" s="2" t="s">
        <v>276</v>
      </c>
      <c r="C54" s="6">
        <v>22456.938</v>
      </c>
      <c r="D54" s="6">
        <v>22272.546</v>
      </c>
      <c r="E54" s="6">
        <v>21945.682</v>
      </c>
      <c r="F54" s="7">
        <v>3.4</v>
      </c>
      <c r="G54" s="7">
        <f t="shared" si="0"/>
        <v>3.35290822233167</v>
      </c>
      <c r="H54" s="7">
        <f t="shared" si="1"/>
        <v>2.32964279715708</v>
      </c>
    </row>
    <row r="55" ht="21" customHeight="1" spans="1:8">
      <c r="A55" s="5" t="s">
        <v>172</v>
      </c>
      <c r="B55" s="2" t="s">
        <v>277</v>
      </c>
      <c r="C55" s="6">
        <v>22577.556</v>
      </c>
      <c r="D55" s="6">
        <v>22456.938</v>
      </c>
      <c r="E55" s="6">
        <v>21976.292</v>
      </c>
      <c r="F55" s="7">
        <v>2.2</v>
      </c>
      <c r="G55" s="7">
        <f t="shared" si="0"/>
        <v>2.1658029714704</v>
      </c>
      <c r="H55" s="7">
        <f t="shared" si="1"/>
        <v>2.73596655887172</v>
      </c>
    </row>
    <row r="56" ht="21" customHeight="1" spans="1:8">
      <c r="A56" s="5" t="s">
        <v>175</v>
      </c>
      <c r="B56" s="2" t="s">
        <v>278</v>
      </c>
      <c r="C56" s="6">
        <v>22828.796</v>
      </c>
      <c r="D56" s="6">
        <v>22577.556</v>
      </c>
      <c r="E56" s="6">
        <v>22124.384</v>
      </c>
      <c r="F56" s="7">
        <v>4.5</v>
      </c>
      <c r="G56" s="7">
        <f t="shared" si="0"/>
        <v>4.52599643164204</v>
      </c>
      <c r="H56" s="7">
        <f t="shared" si="1"/>
        <v>3.18387169559162</v>
      </c>
    </row>
    <row r="57" ht="21" customHeight="1" spans="1:8">
      <c r="A57" s="5" t="s">
        <v>178</v>
      </c>
      <c r="B57" s="2" t="s">
        <v>279</v>
      </c>
      <c r="C57" s="6">
        <v>23033.25</v>
      </c>
      <c r="D57" s="6">
        <v>22828.796</v>
      </c>
      <c r="E57" s="6">
        <v>22272.546</v>
      </c>
      <c r="F57" s="7">
        <v>3.6</v>
      </c>
      <c r="G57" s="7">
        <f t="shared" si="0"/>
        <v>3.63080140574792</v>
      </c>
      <c r="H57" s="7">
        <f t="shared" si="1"/>
        <v>3.41543351173235</v>
      </c>
    </row>
    <row r="58" ht="21" customHeight="1" spans="1:8">
      <c r="A58" s="5" t="s">
        <v>181</v>
      </c>
      <c r="B58" s="2" t="s">
        <v>280</v>
      </c>
      <c r="C58" s="6">
        <v>23115.975</v>
      </c>
      <c r="D58" s="6">
        <v>23033.25</v>
      </c>
      <c r="E58" s="6">
        <v>22456.938</v>
      </c>
      <c r="F58" s="7">
        <v>1.4</v>
      </c>
      <c r="G58" s="7">
        <f t="shared" si="0"/>
        <v>1.44437687489098</v>
      </c>
      <c r="H58" s="7">
        <f t="shared" si="1"/>
        <v>2.93466990023306</v>
      </c>
    </row>
    <row r="59" ht="21" customHeight="1" spans="1:8">
      <c r="A59" s="5" t="s">
        <v>184</v>
      </c>
      <c r="B59" s="2" t="s">
        <v>281</v>
      </c>
      <c r="C59" s="6">
        <v>23320.074</v>
      </c>
      <c r="D59" s="6">
        <v>23115.975</v>
      </c>
      <c r="E59" s="6">
        <v>22577.556</v>
      </c>
      <c r="F59" s="7">
        <v>3.6</v>
      </c>
      <c r="G59" s="7">
        <f t="shared" si="0"/>
        <v>3.57878978424964</v>
      </c>
      <c r="H59" s="7">
        <f t="shared" si="1"/>
        <v>3.28874391896095</v>
      </c>
    </row>
    <row r="60" ht="21" customHeight="1" spans="1:8">
      <c r="A60" s="5" t="s">
        <v>187</v>
      </c>
      <c r="B60" s="2" t="s">
        <v>282</v>
      </c>
      <c r="C60" s="6">
        <v>23501.76</v>
      </c>
      <c r="D60" s="6">
        <v>23320.074</v>
      </c>
      <c r="E60" s="6">
        <v>22828.796</v>
      </c>
      <c r="F60" s="7">
        <v>3.2</v>
      </c>
      <c r="G60" s="7">
        <f t="shared" si="0"/>
        <v>3.15299711273225</v>
      </c>
      <c r="H60" s="7">
        <f t="shared" si="1"/>
        <v>2.94787337886764</v>
      </c>
    </row>
    <row r="61" ht="21" customHeight="1" spans="1:8">
      <c r="A61" s="5" t="s">
        <v>190</v>
      </c>
      <c r="B61" s="2" t="s">
        <v>283</v>
      </c>
      <c r="C61" s="6">
        <v>23641.759</v>
      </c>
      <c r="D61" s="6">
        <v>23501.76</v>
      </c>
      <c r="E61" s="6">
        <v>23033.25</v>
      </c>
      <c r="F61" s="7">
        <v>2.4</v>
      </c>
      <c r="G61" s="7">
        <f t="shared" si="0"/>
        <v>2.40415913669612</v>
      </c>
      <c r="H61" s="7">
        <f t="shared" si="1"/>
        <v>2.64187207623761</v>
      </c>
    </row>
    <row r="62" ht="21" customHeight="1" spans="1:8">
      <c r="A62" s="5" t="s">
        <v>193</v>
      </c>
      <c r="B62" s="2" t="s">
        <v>284</v>
      </c>
      <c r="C62" s="6">
        <v>23650.213</v>
      </c>
      <c r="D62" s="6">
        <v>23641.759</v>
      </c>
      <c r="E62" s="6">
        <v>23115.975</v>
      </c>
      <c r="F62" s="7">
        <v>0.1</v>
      </c>
      <c r="G62" s="7">
        <f t="shared" si="0"/>
        <v>0.143111781987693</v>
      </c>
      <c r="H62" s="7">
        <f t="shared" si="1"/>
        <v>2.31112033993808</v>
      </c>
    </row>
    <row r="63" ht="21" customHeight="1" spans="1:8">
      <c r="A63" s="5" t="s">
        <v>196</v>
      </c>
      <c r="B63" s="2" t="s">
        <v>285</v>
      </c>
      <c r="C63" s="6">
        <v>23884.563</v>
      </c>
      <c r="D63" s="6">
        <v>23650.213</v>
      </c>
      <c r="E63" s="6">
        <v>23320.074</v>
      </c>
      <c r="F63" s="7">
        <v>4</v>
      </c>
      <c r="G63" s="7">
        <f t="shared" si="0"/>
        <v>4.02290379785342</v>
      </c>
      <c r="H63" s="7">
        <f t="shared" si="1"/>
        <v>2.42061410268251</v>
      </c>
    </row>
    <row r="64" ht="21" customHeight="1" spans="1:8">
      <c r="A64" s="5" t="s">
        <v>199</v>
      </c>
      <c r="B64" s="2" t="s">
        <v>286</v>
      </c>
      <c r="C64" s="6">
        <v>24112.966</v>
      </c>
      <c r="D64" s="6">
        <v>23884.563</v>
      </c>
      <c r="E64" s="6">
        <v>23501.76</v>
      </c>
      <c r="F64" s="7">
        <v>3.9</v>
      </c>
      <c r="G64" s="7">
        <f t="shared" si="0"/>
        <v>3.88033376543773</v>
      </c>
      <c r="H64" s="7">
        <f t="shared" si="1"/>
        <v>2.60068182127637</v>
      </c>
    </row>
    <row r="65" ht="21" customHeight="1" spans="1:8">
      <c r="A65" s="5" t="s">
        <v>202</v>
      </c>
      <c r="B65" s="2" t="s">
        <v>287</v>
      </c>
      <c r="C65" s="6">
        <v>24125.479</v>
      </c>
      <c r="D65" s="6">
        <v>24112.966</v>
      </c>
      <c r="E65" s="6">
        <v>23641.759</v>
      </c>
      <c r="F65" s="7">
        <v>0.2</v>
      </c>
      <c r="G65" s="7">
        <f t="shared" si="0"/>
        <v>0.207734601745591</v>
      </c>
      <c r="H65" s="7">
        <f t="shared" si="1"/>
        <v>2.04604065205132</v>
      </c>
    </row>
    <row r="66" ht="21" customHeight="1" spans="1:8">
      <c r="A66" s="5" t="s">
        <v>205</v>
      </c>
      <c r="B66" s="2" t="s">
        <v>288</v>
      </c>
      <c r="C66" s="6">
        <v>24274.383</v>
      </c>
      <c r="D66" s="6">
        <v>24125.479</v>
      </c>
      <c r="E66" s="6">
        <v>23650.213</v>
      </c>
      <c r="F66" s="7">
        <v>2.5</v>
      </c>
      <c r="G66" s="7">
        <f>100*((C66/D66)^4-1)</f>
        <v>2.49177641082539</v>
      </c>
      <c r="H66" s="7">
        <f>100*(C66/E66-1)</f>
        <v>2.63917284804158</v>
      </c>
    </row>
    <row r="67" ht="21" customHeight="1" spans="1:8">
      <c r="A67" s="5" t="s">
        <v>208</v>
      </c>
      <c r="B67" s="2" t="s">
        <v>289</v>
      </c>
      <c r="C67" s="6">
        <v>24408.011</v>
      </c>
      <c r="D67" s="6">
        <v>24274.383</v>
      </c>
      <c r="E67" s="6">
        <v>23884.563</v>
      </c>
      <c r="F67" s="7">
        <v>2.2</v>
      </c>
      <c r="G67" s="7">
        <f>100*((C67/D67)^4-1)</f>
        <v>2.22020832031007</v>
      </c>
      <c r="H67" s="7">
        <f>100*(C67/E67-1)</f>
        <v>2.19157453288972</v>
      </c>
    </row>
  </sheetData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DA9B6"/>
  </sheetPr>
  <dimension ref="A1:I26"/>
  <sheetViews>
    <sheetView showGridLines="0" workbookViewId="0">
      <pane xSplit="1" ySplit="1" topLeftCell="B2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3.5"/>
  <cols>
    <col min="1" max="1" width="44" customWidth="1"/>
    <col min="2" max="2" width="54" customWidth="1"/>
    <col min="3" max="3" width="49" customWidth="1"/>
    <col min="4" max="4" width="17" customWidth="1"/>
    <col min="5" max="5" width="46" customWidth="1"/>
    <col min="6" max="6" width="16" customWidth="1"/>
    <col min="7" max="7" width="28" customWidth="1"/>
    <col min="8" max="8" width="100" customWidth="1"/>
    <col min="9" max="9" width="120" customWidth="1"/>
  </cols>
  <sheetData>
    <row r="1" ht="48" customHeight="1" spans="1:9">
      <c r="A1" s="1" t="s">
        <v>290</v>
      </c>
      <c r="B1" s="1" t="s">
        <v>291</v>
      </c>
      <c r="C1" s="1" t="s">
        <v>292</v>
      </c>
      <c r="D1" s="1" t="s">
        <v>293</v>
      </c>
      <c r="E1" s="1" t="s">
        <v>294</v>
      </c>
      <c r="F1" s="1" t="s">
        <v>295</v>
      </c>
      <c r="G1" s="1" t="s">
        <v>296</v>
      </c>
      <c r="H1" s="1" t="s">
        <v>297</v>
      </c>
      <c r="I1" s="1" t="s">
        <v>298</v>
      </c>
    </row>
    <row r="2" ht="21" customHeight="1" spans="1:9">
      <c r="A2" s="2" t="s">
        <v>1</v>
      </c>
      <c r="B2" s="2" t="s">
        <v>299</v>
      </c>
      <c r="C2" s="2" t="s">
        <v>300</v>
      </c>
      <c r="D2" s="2" t="s">
        <v>301</v>
      </c>
      <c r="E2" s="2" t="s">
        <v>302</v>
      </c>
      <c r="F2" s="2" t="s">
        <v>303</v>
      </c>
      <c r="G2" s="2" t="s">
        <v>304</v>
      </c>
      <c r="H2" s="2" t="s">
        <v>305</v>
      </c>
      <c r="I2" s="2" t="s">
        <v>306</v>
      </c>
    </row>
    <row r="3" ht="21" customHeight="1" spans="1:9">
      <c r="A3" s="2" t="s">
        <v>2</v>
      </c>
      <c r="B3" s="2" t="s">
        <v>307</v>
      </c>
      <c r="C3" s="2" t="s">
        <v>300</v>
      </c>
      <c r="D3" s="2" t="s">
        <v>301</v>
      </c>
      <c r="E3" s="2" t="s">
        <v>302</v>
      </c>
      <c r="F3" s="2" t="s">
        <v>303</v>
      </c>
      <c r="G3" s="2" t="s">
        <v>304</v>
      </c>
      <c r="H3" s="2" t="s">
        <v>308</v>
      </c>
      <c r="I3" s="2" t="s">
        <v>309</v>
      </c>
    </row>
    <row r="4" ht="21" customHeight="1" spans="1:9">
      <c r="A4" s="2" t="s">
        <v>3</v>
      </c>
      <c r="B4" s="2" t="s">
        <v>310</v>
      </c>
      <c r="C4" s="2" t="s">
        <v>300</v>
      </c>
      <c r="D4" s="2" t="s">
        <v>301</v>
      </c>
      <c r="E4" s="2" t="s">
        <v>302</v>
      </c>
      <c r="F4" s="2" t="s">
        <v>303</v>
      </c>
      <c r="G4" s="2" t="s">
        <v>304</v>
      </c>
      <c r="H4" s="2" t="s">
        <v>311</v>
      </c>
      <c r="I4" s="2" t="s">
        <v>312</v>
      </c>
    </row>
    <row r="5" ht="21" customHeight="1" spans="1:9">
      <c r="A5" s="2" t="s">
        <v>5</v>
      </c>
      <c r="B5" s="2" t="s">
        <v>313</v>
      </c>
      <c r="C5" s="2" t="s">
        <v>314</v>
      </c>
      <c r="D5" s="2" t="s">
        <v>301</v>
      </c>
      <c r="E5" s="2" t="s">
        <v>315</v>
      </c>
      <c r="F5" s="2" t="s">
        <v>303</v>
      </c>
      <c r="G5" s="2" t="s">
        <v>316</v>
      </c>
      <c r="H5" s="2" t="s">
        <v>317</v>
      </c>
      <c r="I5" s="2" t="s">
        <v>318</v>
      </c>
    </row>
    <row r="6" ht="21" customHeight="1" spans="1:9">
      <c r="A6" s="2" t="s">
        <v>6</v>
      </c>
      <c r="B6" s="2" t="s">
        <v>319</v>
      </c>
      <c r="C6" s="2" t="s">
        <v>320</v>
      </c>
      <c r="D6" s="2" t="s">
        <v>301</v>
      </c>
      <c r="E6" s="2" t="s">
        <v>321</v>
      </c>
      <c r="F6" s="2" t="s">
        <v>303</v>
      </c>
      <c r="G6" s="2" t="s">
        <v>322</v>
      </c>
      <c r="H6" s="2" t="s">
        <v>323</v>
      </c>
      <c r="I6" s="2" t="s">
        <v>324</v>
      </c>
    </row>
    <row r="7" ht="21" customHeight="1" spans="1:9">
      <c r="A7" s="2" t="s">
        <v>8</v>
      </c>
      <c r="B7" s="2" t="s">
        <v>325</v>
      </c>
      <c r="C7" s="2" t="s">
        <v>326</v>
      </c>
      <c r="D7" s="2" t="s">
        <v>301</v>
      </c>
      <c r="E7" s="2" t="s">
        <v>327</v>
      </c>
      <c r="F7" s="2" t="s">
        <v>303</v>
      </c>
      <c r="G7" s="2" t="s">
        <v>322</v>
      </c>
      <c r="H7" s="2" t="s">
        <v>323</v>
      </c>
      <c r="I7" s="2" t="s">
        <v>328</v>
      </c>
    </row>
    <row r="8" ht="21" customHeight="1" spans="1:9">
      <c r="A8" s="2" t="s">
        <v>218</v>
      </c>
      <c r="B8" s="2" t="s">
        <v>329</v>
      </c>
      <c r="C8" s="2" t="s">
        <v>330</v>
      </c>
      <c r="D8" s="2" t="s">
        <v>331</v>
      </c>
      <c r="E8" s="2" t="s">
        <v>332</v>
      </c>
      <c r="F8" s="2" t="s">
        <v>224</v>
      </c>
      <c r="G8" s="2" t="s">
        <v>289</v>
      </c>
      <c r="H8" s="2" t="s">
        <v>333</v>
      </c>
      <c r="I8" s="2" t="s">
        <v>334</v>
      </c>
    </row>
    <row r="9" ht="21" customHeight="1" spans="1:9">
      <c r="A9" s="2" t="s">
        <v>221</v>
      </c>
      <c r="B9" s="2" t="s">
        <v>335</v>
      </c>
      <c r="C9" s="2" t="s">
        <v>336</v>
      </c>
      <c r="D9" s="2" t="s">
        <v>331</v>
      </c>
      <c r="E9" s="2" t="s">
        <v>337</v>
      </c>
      <c r="F9" s="2" t="s">
        <v>224</v>
      </c>
      <c r="G9" s="2" t="s">
        <v>289</v>
      </c>
      <c r="H9" s="2" t="s">
        <v>338</v>
      </c>
      <c r="I9" s="2" t="s">
        <v>339</v>
      </c>
    </row>
    <row r="10" ht="21" customHeight="1" spans="1:9">
      <c r="A10" s="2" t="s">
        <v>223</v>
      </c>
      <c r="B10" s="2" t="s">
        <v>340</v>
      </c>
      <c r="C10" s="2" t="s">
        <v>341</v>
      </c>
      <c r="D10" s="2" t="s">
        <v>331</v>
      </c>
      <c r="E10" s="2" t="s">
        <v>337</v>
      </c>
      <c r="F10" s="2" t="s">
        <v>224</v>
      </c>
      <c r="G10" s="2" t="s">
        <v>289</v>
      </c>
      <c r="H10" s="2" t="s">
        <v>333</v>
      </c>
      <c r="I10" s="2" t="s">
        <v>342</v>
      </c>
    </row>
    <row r="11" ht="21" customHeight="1" spans="1:9">
      <c r="A11" s="2" t="s">
        <v>9</v>
      </c>
      <c r="B11" s="2" t="s">
        <v>343</v>
      </c>
      <c r="C11" s="2" t="s">
        <v>344</v>
      </c>
      <c r="D11" s="2" t="s">
        <v>301</v>
      </c>
      <c r="E11" s="2" t="s">
        <v>332</v>
      </c>
      <c r="F11" s="2" t="s">
        <v>303</v>
      </c>
      <c r="G11" s="2" t="s">
        <v>322</v>
      </c>
      <c r="H11" s="2" t="s">
        <v>345</v>
      </c>
      <c r="I11" s="2" t="s">
        <v>346</v>
      </c>
    </row>
    <row r="12" ht="21" customHeight="1" spans="1:9">
      <c r="A12" s="2" t="s">
        <v>10</v>
      </c>
      <c r="B12" s="2" t="s">
        <v>347</v>
      </c>
      <c r="C12" s="2" t="s">
        <v>348</v>
      </c>
      <c r="D12" s="2" t="s">
        <v>301</v>
      </c>
      <c r="E12" s="2" t="s">
        <v>315</v>
      </c>
      <c r="F12" s="2" t="s">
        <v>303</v>
      </c>
      <c r="G12" s="2" t="s">
        <v>316</v>
      </c>
      <c r="H12" s="2" t="s">
        <v>349</v>
      </c>
      <c r="I12" s="2" t="s">
        <v>350</v>
      </c>
    </row>
    <row r="13" ht="21" customHeight="1" spans="1:9">
      <c r="A13" s="2" t="s">
        <v>11</v>
      </c>
      <c r="B13" s="2" t="s">
        <v>351</v>
      </c>
      <c r="C13" s="2" t="s">
        <v>326</v>
      </c>
      <c r="D13" s="2" t="s">
        <v>301</v>
      </c>
      <c r="E13" s="2" t="s">
        <v>337</v>
      </c>
      <c r="F13" s="2" t="s">
        <v>303</v>
      </c>
      <c r="G13" s="2" t="s">
        <v>322</v>
      </c>
      <c r="H13" s="2" t="s">
        <v>323</v>
      </c>
      <c r="I13" s="2" t="s">
        <v>352</v>
      </c>
    </row>
    <row r="16" ht="13.85" spans="1:9">
      <c r="A16" s="3" t="s">
        <v>353</v>
      </c>
      <c r="B16" s="3" t="s">
        <v>354</v>
      </c>
    </row>
    <row r="17" ht="26" customHeight="1" spans="1:2">
      <c r="A17" s="4" t="s">
        <v>355</v>
      </c>
      <c r="B17" s="4" t="s">
        <v>356</v>
      </c>
    </row>
    <row r="18" ht="26" customHeight="1" spans="1:2">
      <c r="A18" s="4" t="s">
        <v>357</v>
      </c>
      <c r="B18" s="4" t="s">
        <v>358</v>
      </c>
    </row>
    <row r="19" ht="26" customHeight="1" spans="1:2">
      <c r="A19" s="4" t="s">
        <v>359</v>
      </c>
      <c r="B19" s="4" t="s">
        <v>360</v>
      </c>
    </row>
    <row r="20" ht="26" customHeight="1" spans="1:2">
      <c r="A20" s="4" t="s">
        <v>361</v>
      </c>
      <c r="B20" s="4" t="s">
        <v>362</v>
      </c>
    </row>
    <row r="21" ht="26" customHeight="1" spans="1:2">
      <c r="A21" s="4" t="s">
        <v>363</v>
      </c>
      <c r="B21" s="4" t="s">
        <v>364</v>
      </c>
    </row>
    <row r="22" ht="26" customHeight="1" spans="1:2">
      <c r="A22" s="4" t="s">
        <v>365</v>
      </c>
      <c r="B22" s="4" t="s">
        <v>366</v>
      </c>
    </row>
    <row r="23" ht="26" customHeight="1" spans="1:2">
      <c r="A23" s="4" t="s">
        <v>367</v>
      </c>
      <c r="B23" s="4" t="s">
        <v>368</v>
      </c>
    </row>
    <row r="24" ht="26" customHeight="1" spans="1:2">
      <c r="A24" s="4" t="s">
        <v>369</v>
      </c>
      <c r="B24" s="4" t="s">
        <v>370</v>
      </c>
    </row>
    <row r="25" ht="26" customHeight="1" spans="1:2">
      <c r="A25" s="4" t="s">
        <v>371</v>
      </c>
      <c r="B25" s="4" t="s">
        <v>372</v>
      </c>
    </row>
    <row r="26" ht="26" customHeight="1" spans="1:2">
      <c r="A26" s="4" t="s">
        <v>373</v>
      </c>
      <c r="B26" s="4" t="s">
        <v>374</v>
      </c>
    </row>
  </sheetData>
  <mergeCells count="10">
    <mergeCell ref="B17:I17"/>
    <mergeCell ref="B18:I18"/>
    <mergeCell ref="B19:I19"/>
    <mergeCell ref="B20:I20"/>
    <mergeCell ref="B21:I21"/>
    <mergeCell ref="B22:I22"/>
    <mergeCell ref="B23:I23"/>
    <mergeCell ref="B24:I24"/>
    <mergeCell ref="B25:I25"/>
    <mergeCell ref="B26:I26"/>
  </mergeCells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Monthly</vt:lpstr>
      <vt:lpstr>Quarterly GDP</vt:lpstr>
      <vt:lpstr>Sources and 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宽泓</cp:lastModifiedBy>
  <dcterms:created xsi:type="dcterms:W3CDTF">2026-10-14T21:56:11Z</dcterms:created>
  <dcterms:modified xsi:type="dcterms:W3CDTF">2026-10-15T00:51:08Z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FCE9F515B77A4FE7BDE905C778AB1BF7_13</vt:lpwstr>
  </property>
  <property fmtid="{D5CDD505-2E9C-101B-9397-08002B2CF9AE}" pid="3" name="KSOProductBuildVer">
    <vt:lpwstr>2052-12.1.0.29158</vt:lpwstr>
  </property>
  <property fmtid="{D5CDD505-2E9C-101B-9397-08002B2CF9AE}" pid="4" name="CalculationRule">
    <vt:i4>0</vt:i4>
  </property>
</Properties>
</file>